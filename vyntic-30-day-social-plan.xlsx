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Daily Plan" sheetId="2" state="visible" r:id="rId2"/>
    <sheet xmlns:r="http://schemas.openxmlformats.org/officeDocument/2006/relationships" name="Trending Keywords" sheetId="3" state="visible" r:id="rId3"/>
    <sheet xmlns:r="http://schemas.openxmlformats.org/officeDocument/2006/relationships" name="Weekly Routine" sheetId="4" state="visible" r:id="rId4"/>
  </sheets>
  <definedNames>
    <definedName name="_xlnm._FilterDatabase" localSheetId="1" hidden="1">'Daily Plan'!$A$5:$Q$35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 mmm yyyy"/>
    <numFmt numFmtId="166" formatCode="d mmm"/>
    <numFmt numFmtId="167" formatCode="d mmm&quot;  ·  Halloween&quot;"/>
    <numFmt numFmtId="168" formatCode="d mmm&quot;  ·  US clocks change&quot;"/>
    <numFmt numFmtId="169" formatCode="d mmm&quot;  ·  Veterans Day&quot;"/>
  </numFmts>
  <fonts count="21">
    <font>
      <name val="Calibri"/>
      <family val="2"/>
      <color theme="1"/>
      <sz val="11"/>
      <scheme val="minor"/>
    </font>
    <font>
      <name val="Arial"/>
      <b val="1"/>
      <color rgb="000F2B2E"/>
      <sz val="16"/>
    </font>
    <font>
      <name val="Arial"/>
      <color rgb="004A6266"/>
      <sz val="10"/>
    </font>
    <font>
      <name val="Arial"/>
      <color rgb="004A6266"/>
      <sz val="9"/>
    </font>
    <font>
      <name val="Arial"/>
      <b val="1"/>
      <color rgb="00C7431F"/>
      <sz val="14"/>
    </font>
    <font>
      <name val="Arial"/>
      <b val="1"/>
      <color rgb="00FFFFFF"/>
      <sz val="10"/>
    </font>
    <font>
      <name val="Arial"/>
      <color rgb="000F2B2E"/>
      <sz val="10"/>
    </font>
    <font>
      <name val="Arial"/>
      <b val="1"/>
      <color rgb="000F2B2E"/>
      <sz val="10"/>
    </font>
    <font>
      <name val="Arial"/>
      <color rgb="001155CC"/>
      <sz val="10"/>
      <u val="single"/>
    </font>
    <font>
      <name val="Arial"/>
      <b val="1"/>
      <color rgb="000F2B2E"/>
      <sz val="18"/>
    </font>
    <font>
      <name val="Arial"/>
      <b val="1"/>
      <color rgb="00FFFFFF"/>
      <sz val="11"/>
    </font>
    <font>
      <name val="Arial"/>
      <b val="1"/>
      <color rgb="00C7431F"/>
      <sz val="11"/>
    </font>
    <font>
      <name val="Arial"/>
      <i val="1"/>
      <color rgb="004A6266"/>
      <sz val="9"/>
    </font>
    <font>
      <name val="Arial"/>
      <b val="1"/>
      <color rgb="00C7431F"/>
      <sz val="9"/>
    </font>
    <font>
      <name val="Arial"/>
      <b val="1"/>
      <color rgb="009DB6B2"/>
      <sz val="11"/>
    </font>
    <font>
      <name val="Arial"/>
      <b val="1"/>
      <color rgb="000F2B2E"/>
      <sz val="11"/>
    </font>
    <font>
      <name val="Arial"/>
      <i val="1"/>
      <color rgb="004A6266"/>
      <sz val="10"/>
    </font>
    <font>
      <name val="Arial"/>
      <b val="1"/>
      <color rgb="00FFFFFF"/>
    </font>
    <font>
      <name val="Arial"/>
      <color rgb="001155CC"/>
      <sz val="9"/>
      <u val="single"/>
    </font>
    <font>
      <name val="Arial"/>
      <b val="1"/>
      <color rgb="000F2B2E"/>
      <sz val="13"/>
    </font>
    <font>
      <name val="Arial"/>
      <b val="1"/>
      <color rgb="00C7431F"/>
      <sz val="10"/>
    </font>
  </fonts>
  <fills count="14">
    <fill>
      <patternFill/>
    </fill>
    <fill>
      <patternFill patternType="gray125"/>
    </fill>
    <fill>
      <patternFill patternType="solid">
        <fgColor rgb="000F2B2E"/>
      </patternFill>
    </fill>
    <fill>
      <patternFill patternType="solid">
        <fgColor rgb="00C7431F"/>
      </patternFill>
    </fill>
    <fill>
      <patternFill patternType="solid">
        <fgColor rgb="00FDEBE5"/>
      </patternFill>
    </fill>
    <fill>
      <patternFill patternType="solid">
        <fgColor rgb="00FFF4C2"/>
      </patternFill>
    </fill>
    <fill>
      <patternFill patternType="solid">
        <fgColor rgb="00E4ECFB"/>
      </patternFill>
    </fill>
    <fill>
      <patternFill patternType="solid">
        <fgColor rgb="00E3F5EC"/>
      </patternFill>
    </fill>
    <fill>
      <patternFill patternType="solid">
        <fgColor rgb="00FDF1DC"/>
      </patternFill>
    </fill>
    <fill>
      <patternFill patternType="solid">
        <fgColor rgb="00EEF3F1"/>
      </patternFill>
    </fill>
    <fill>
      <patternFill patternType="solid">
        <fgColor rgb="00EFE7FA"/>
      </patternFill>
    </fill>
    <fill>
      <patternFill patternType="solid">
        <fgColor rgb="00FDE2D8"/>
      </patternFill>
    </fill>
    <fill>
      <patternFill patternType="solid">
        <fgColor rgb="00FFFFFF"/>
      </patternFill>
    </fill>
    <fill>
      <patternFill patternType="solid">
        <fgColor rgb="00F6F8F7"/>
      </patternFill>
    </fill>
  </fills>
  <borders count="5">
    <border>
      <left/>
      <right/>
      <top/>
      <bottom/>
      <diagonal/>
    </border>
    <border>
      <left style="thin">
        <color rgb="00D5E0DD"/>
      </left>
      <right style="thin">
        <color rgb="00D5E0DD"/>
      </right>
      <top style="thin">
        <color rgb="00D5E0DD"/>
      </top>
      <bottom style="thin">
        <color rgb="00D5E0DD"/>
      </bottom>
    </border>
    <border>
      <left style="thin">
        <color rgb="00D5E0DD"/>
      </left>
      <right style="thin">
        <color rgb="00D5E0DD"/>
      </right>
      <top style="thin">
        <color rgb="00D5E0DD"/>
      </top>
    </border>
    <border>
      <left style="thin">
        <color rgb="00D5E0DD"/>
      </left>
      <right style="thin">
        <color rgb="00D5E0DD"/>
      </right>
    </border>
    <border>
      <left style="thin">
        <color rgb="00D5E0DD"/>
      </left>
      <right style="thin">
        <color rgb="00D5E0DD"/>
      </right>
      <bottom style="thin">
        <color rgb="00D5E0D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10" fillId="2" borderId="1" applyAlignment="1" pivotButton="0" quotePrefix="0" xfId="0">
      <alignment horizontal="center" vertical="center"/>
    </xf>
    <xf numFmtId="166" fontId="11" fillId="12" borderId="2" applyAlignment="1" pivotButton="0" quotePrefix="0" xfId="0">
      <alignment vertical="top"/>
    </xf>
    <xf numFmtId="0" fontId="7" fillId="12" borderId="3" applyAlignment="1" pivotButton="0" quotePrefix="0" xfId="0">
      <alignment vertical="top" wrapText="1"/>
    </xf>
    <xf numFmtId="0" fontId="12" fillId="12" borderId="3" applyAlignment="1" pivotButton="0" quotePrefix="0" xfId="0">
      <alignment vertical="top" wrapText="1"/>
    </xf>
    <xf numFmtId="0" fontId="13" fillId="12" borderId="4" applyAlignment="1" pivotButton="0" quotePrefix="0" xfId="0">
      <alignment vertical="top"/>
    </xf>
    <xf numFmtId="167" fontId="11" fillId="12" borderId="2" applyAlignment="1" pivotButton="0" quotePrefix="0" xfId="0">
      <alignment vertical="top"/>
    </xf>
    <xf numFmtId="168" fontId="11" fillId="12" borderId="2" applyAlignment="1" pivotButton="0" quotePrefix="0" xfId="0">
      <alignment vertical="top"/>
    </xf>
    <xf numFmtId="169" fontId="14" fillId="13" borderId="2" applyAlignment="1" pivotButton="0" quotePrefix="0" xfId="0">
      <alignment vertical="top"/>
    </xf>
    <xf numFmtId="166" fontId="14" fillId="13" borderId="2" applyAlignment="1" pivotButton="0" quotePrefix="0" xfId="0">
      <alignment vertical="top"/>
    </xf>
    <xf numFmtId="0" fontId="7" fillId="13" borderId="3" applyAlignment="1" pivotButton="0" quotePrefix="0" xfId="0">
      <alignment vertical="top" wrapText="1"/>
    </xf>
    <xf numFmtId="0" fontId="12" fillId="13" borderId="3" applyAlignment="1" pivotButton="0" quotePrefix="0" xfId="0">
      <alignment vertical="top" wrapText="1"/>
    </xf>
    <xf numFmtId="0" fontId="13" fillId="13" borderId="4" applyAlignment="1" pivotButton="0" quotePrefix="0" xfId="0">
      <alignment vertical="top"/>
    </xf>
    <xf numFmtId="0" fontId="15" fillId="0" borderId="0" pivotButton="0" quotePrefix="0" xfId="0"/>
    <xf numFmtId="0" fontId="6" fillId="0" borderId="0" pivotButton="0" quotePrefix="0" xfId="0"/>
    <xf numFmtId="0" fontId="16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165" fontId="6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17" fillId="2" borderId="1" pivotButton="0" quotePrefix="0" xfId="0"/>
    <xf numFmtId="0" fontId="18" fillId="0" borderId="1" applyAlignment="1" pivotButton="0" quotePrefix="0" xfId="0">
      <alignment vertical="top" wrapText="1"/>
    </xf>
    <xf numFmtId="0" fontId="19" fillId="0" borderId="0" pivotButton="0" quotePrefix="0" xfId="0"/>
    <xf numFmtId="0" fontId="20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  <color rgb="000B7A52"/>
      </font>
      <fill>
        <patternFill patternType="solid">
          <fgColor rgb="00D7F2E5"/>
        </patternFill>
      </fill>
    </dxf>
    <dxf>
      <font>
        <name val="Arial"/>
        <b val="1"/>
        <color rgb="001F4FA8"/>
      </font>
      <fill>
        <patternFill patternType="solid">
          <fgColor rgb="00E4EC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vyntic.studio/plugins/vyntic-speed-optimizer/" TargetMode="External" Id="rId1"/><Relationship Type="http://schemas.openxmlformats.org/officeDocument/2006/relationships/hyperlink" Target="https://wordpress.org/news/2026/10/wordpress-7-1-3-maintenance-and-security-release/" TargetMode="External" Id="rId2"/><Relationship Type="http://schemas.openxmlformats.org/officeDocument/2006/relationships/hyperlink" Target="https://vyntic.studio/plugins/" TargetMode="External" Id="rId3"/><Relationship Type="http://schemas.openxmlformats.org/officeDocument/2006/relationships/hyperlink" Target="https://vyntic.studio/services/website-speed-optimization/" TargetMode="External" Id="rId4"/><Relationship Type="http://schemas.openxmlformats.org/officeDocument/2006/relationships/hyperlink" Target="https://vyntic.studio/core-web-vitals-explained/" TargetMode="External" Id="rId5"/><Relationship Type="http://schemas.openxmlformats.org/officeDocument/2006/relationships/hyperlink" Target="https://vyntic.studio/services/web-design/" TargetMode="External" Id="rId6"/><Relationship Type="http://schemas.openxmlformats.org/officeDocument/2006/relationships/hyperlink" Target="https://vyntic.studio/services/ai-search-visibility/" TargetMode="External" Id="rId7"/><Relationship Type="http://schemas.openxmlformats.org/officeDocument/2006/relationships/hyperlink" Target="https://www.seroundtable.com/october-2026-google-webmaster-report-42185.html" TargetMode="External" Id="rId8"/><Relationship Type="http://schemas.openxmlformats.org/officeDocument/2006/relationships/hyperlink" Target="https://vyntic.studio/get-recommended-by-chatgpt/" TargetMode="External" Id="rId9"/><Relationship Type="http://schemas.openxmlformats.org/officeDocument/2006/relationships/hyperlink" Target="https://vyntic.studio/services/seo-services/" TargetMode="External" Id="rId10"/><Relationship Type="http://schemas.openxmlformats.org/officeDocument/2006/relationships/hyperlink" Target="https://www.searchenginejournal.com/category/cms/wp/" TargetMode="External" Id="rId11"/><Relationship Type="http://schemas.openxmlformats.org/officeDocument/2006/relationships/hyperlink" Target="https://vyntic.studio" TargetMode="External" Id="rId12"/><Relationship Type="http://schemas.openxmlformats.org/officeDocument/2006/relationships/hyperlink" Target="https://seroundtable.com/google-september-2026-spam-update-done-42235.html" TargetMode="External" Id="rId13"/><Relationship Type="http://schemas.openxmlformats.org/officeDocument/2006/relationships/hyperlink" Target="https://vyntic.studio/google-business-profile-guide/" TargetMode="External" Id="rId14"/><Relationship Type="http://schemas.openxmlformats.org/officeDocument/2006/relationships/hyperlink" Target="https://vyntic.studio/services/google-business-profile-optimization/" TargetMode="External" Id="rId15"/><Relationship Type="http://schemas.openxmlformats.org/officeDocument/2006/relationships/hyperlink" Target="https://vyntic.studio/contact/" TargetMode="External" Id="rId16"/><Relationship Type="http://schemas.openxmlformats.org/officeDocument/2006/relationships/hyperlink" Target="https://vyntic.studio/plugins/" TargetMode="External" Id="rId17"/><Relationship Type="http://schemas.openxmlformats.org/officeDocument/2006/relationships/hyperlink" Target="https://www.klaviyo.com/uk/bfcm/calendar" TargetMode="External" Id="rId18"/><Relationship Type="http://schemas.openxmlformats.org/officeDocument/2006/relationships/hyperlink" Target="https://vyntic.studio/services/ecommerce-development/" TargetMode="External" Id="rId19"/><Relationship Type="http://schemas.openxmlformats.org/officeDocument/2006/relationships/hyperlink" Target="https://www.yotpo.com/blog/black-friday-marketing-strategy.md" TargetMode="External" Id="rId20"/><Relationship Type="http://schemas.openxmlformats.org/officeDocument/2006/relationships/hyperlink" Target="https://vyntic.studio/services/ecommerce-development/" TargetMode="External" Id="rId21"/><Relationship Type="http://schemas.openxmlformats.org/officeDocument/2006/relationships/hyperlink" Target="https://vyntic.studio/services/landing-page-design/" TargetMode="External" Id="rId22"/><Relationship Type="http://schemas.openxmlformats.org/officeDocument/2006/relationships/hyperlink" Target="https://vyntic.studio/services/local-seo/" TargetMode="External" Id="rId23"/><Relationship Type="http://schemas.openxmlformats.org/officeDocument/2006/relationships/hyperlink" Target="https://vyntic.studio/website-cost/" TargetMode="External" Id="rId24"/><Relationship Type="http://schemas.openxmlformats.org/officeDocument/2006/relationships/hyperlink" Target="https://vyntic.studio/contact/" TargetMode="External" Id="rId25"/></Relationships>
</file>

<file path=xl/worksheets/_rels/sheet3.xml.rels><Relationships xmlns="http://schemas.openxmlformats.org/package/2006/relationships"><Relationship Type="http://schemas.openxmlformats.org/officeDocument/2006/relationships/hyperlink" Target="https://wordpress.org/news/2026/10/wordpress-7-1-3-maintenance-and-security-release/" TargetMode="External" Id="rId1"/><Relationship Type="http://schemas.openxmlformats.org/officeDocument/2006/relationships/hyperlink" Target="https://www.searchenginejournal.com/category/cms/wp/" TargetMode="External" Id="rId2"/><Relationship Type="http://schemas.openxmlformats.org/officeDocument/2006/relationships/hyperlink" Target="https://www.wordstream.com/blog/2026-seo-trends" TargetMode="External" Id="rId3"/><Relationship Type="http://schemas.openxmlformats.org/officeDocument/2006/relationships/hyperlink" Target="https://www.seroundtable.com/october-2026-google-webmaster-report-42185.html" TargetMode="External" Id="rId4"/><Relationship Type="http://schemas.openxmlformats.org/officeDocument/2006/relationships/hyperlink" Target="https://www.seroundtable.com/october-2026-google-webmaster-report-42185.html" TargetMode="External" Id="rId5"/><Relationship Type="http://schemas.openxmlformats.org/officeDocument/2006/relationships/hyperlink" Target="https://www.evergreen.media/en/guide/seo-this-year/" TargetMode="External" Id="rId6"/><Relationship Type="http://schemas.openxmlformats.org/officeDocument/2006/relationships/hyperlink" Target="https://www.wordstream.com/blog/2026-seo-trends" TargetMode="External" Id="rId7"/><Relationship Type="http://schemas.openxmlformats.org/officeDocument/2006/relationships/hyperlink" Target="https://www.position.digital/blog/ai-seo-news/" TargetMode="External" Id="rId8"/><Relationship Type="http://schemas.openxmlformats.org/officeDocument/2006/relationships/hyperlink" Target="https://seroundtable.com/google-september-2026-spam-update-done-42235.html" TargetMode="External" Id="rId9"/><Relationship Type="http://schemas.openxmlformats.org/officeDocument/2006/relationships/hyperlink" Target="https://searchengineland.com/google-may-2026-core-update-rolling-out-now-478430" TargetMode="External" Id="rId10"/><Relationship Type="http://schemas.openxmlformats.org/officeDocument/2006/relationships/hyperlink" Target="https://www.klaviyo.com/uk/bfcm/calendar" TargetMode="External" Id="rId11"/><Relationship Type="http://schemas.openxmlformats.org/officeDocument/2006/relationships/hyperlink" Target="https://www.klaviyo.com/uk/bfcm/calendar" TargetMode="External" Id="rId12"/><Relationship Type="http://schemas.openxmlformats.org/officeDocument/2006/relationships/hyperlink" Target="https://www.yotpo.com/blog/black-friday-marketing-strategy.md" TargetMode="External" Id="rId13"/><Relationship Type="http://schemas.openxmlformats.org/officeDocument/2006/relationships/hyperlink" Target="https://www.klaviyo.com/uk/bfcm/calendar" TargetMode="External" Id="rId14"/><Relationship Type="http://schemas.openxmlformats.org/officeDocument/2006/relationships/hyperlink" Target="https://vyntic.studio/website-cost/" TargetMode="External" Id="rId15"/><Relationship Type="http://schemas.openxmlformats.org/officeDocument/2006/relationships/hyperlink" Target="https://wpaccessibility.day/2026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30 Day Content Calendar</t>
        </is>
      </c>
    </row>
    <row r="2">
      <c r="A2" s="2" t="inlineStr">
        <is>
          <t>12 October to 10 November 2026. Topics come from the Daily Plan tab, so edits there show here automatically.</t>
        </is>
      </c>
    </row>
    <row r="4" ht="24" customHeight="1">
      <c r="A4" s="3" t="inlineStr">
        <is>
          <t>Monday</t>
        </is>
      </c>
      <c r="B4" s="3" t="inlineStr">
        <is>
          <t>Tuesday</t>
        </is>
      </c>
      <c r="C4" s="3" t="inlineStr">
        <is>
          <t>Wednesday</t>
        </is>
      </c>
      <c r="D4" s="3" t="inlineStr">
        <is>
          <t>Thursday</t>
        </is>
      </c>
      <c r="E4" s="3" t="inlineStr">
        <is>
          <t>Friday</t>
        </is>
      </c>
      <c r="F4" s="3" t="inlineStr">
        <is>
          <t>Saturday</t>
        </is>
      </c>
      <c r="G4" s="3" t="inlineStr">
        <is>
          <t>Sunday</t>
        </is>
      </c>
    </row>
    <row r="5" ht="20" customHeight="1">
      <c r="A5" s="4" t="n">
        <v>46307</v>
      </c>
      <c r="B5" s="4" t="n">
        <v>46308</v>
      </c>
      <c r="C5" s="4" t="n">
        <v>46309</v>
      </c>
      <c r="D5" s="4" t="n">
        <v>46310</v>
      </c>
      <c r="E5" s="4" t="n">
        <v>46311</v>
      </c>
      <c r="F5" s="4" t="n">
        <v>46312</v>
      </c>
      <c r="G5" s="4" t="n">
        <v>46313</v>
      </c>
    </row>
    <row r="6" ht="54" customHeight="1">
      <c r="A6" s="5">
        <f>IFERROR(INDEX('Daily Plan'!$F$6:$F$35,MATCH(A5,'Daily Plan'!$B$6:$B$35,0)),"")</f>
        <v/>
      </c>
      <c r="B6" s="5">
        <f>IFERROR(INDEX('Daily Plan'!$F$6:$F$35,MATCH(B5,'Daily Plan'!$B$6:$B$35,0)),"")</f>
        <v/>
      </c>
      <c r="C6" s="5">
        <f>IFERROR(INDEX('Daily Plan'!$F$6:$F$35,MATCH(C5,'Daily Plan'!$B$6:$B$35,0)),"")</f>
        <v/>
      </c>
      <c r="D6" s="5">
        <f>IFERROR(INDEX('Daily Plan'!$F$6:$F$35,MATCH(D5,'Daily Plan'!$B$6:$B$35,0)),"")</f>
        <v/>
      </c>
      <c r="E6" s="5">
        <f>IFERROR(INDEX('Daily Plan'!$F$6:$F$35,MATCH(E5,'Daily Plan'!$B$6:$B$35,0)),"")</f>
        <v/>
      </c>
      <c r="F6" s="5">
        <f>IFERROR(INDEX('Daily Plan'!$F$6:$F$35,MATCH(F5,'Daily Plan'!$B$6:$B$35,0)),"")</f>
        <v/>
      </c>
      <c r="G6" s="5">
        <f>IFERROR(INDEX('Daily Plan'!$F$6:$F$35,MATCH(G5,'Daily Plan'!$B$6:$B$35,0)),"")</f>
        <v/>
      </c>
    </row>
    <row r="7" ht="26" customHeight="1">
      <c r="A7" s="6">
        <f>IFERROR(INDEX('Daily Plan'!$G$6:$G$35,MATCH(A5,'Daily Plan'!$B$6:$B$35,0)),"")</f>
        <v/>
      </c>
      <c r="B7" s="6">
        <f>IFERROR(INDEX('Daily Plan'!$G$6:$G$35,MATCH(B5,'Daily Plan'!$B$6:$B$35,0)),"")</f>
        <v/>
      </c>
      <c r="C7" s="6">
        <f>IFERROR(INDEX('Daily Plan'!$G$6:$G$35,MATCH(C5,'Daily Plan'!$B$6:$B$35,0)),"")</f>
        <v/>
      </c>
      <c r="D7" s="6">
        <f>IFERROR(INDEX('Daily Plan'!$G$6:$G$35,MATCH(D5,'Daily Plan'!$B$6:$B$35,0)),"")</f>
        <v/>
      </c>
      <c r="E7" s="6">
        <f>IFERROR(INDEX('Daily Plan'!$G$6:$G$35,MATCH(E5,'Daily Plan'!$B$6:$B$35,0)),"")</f>
        <v/>
      </c>
      <c r="F7" s="6">
        <f>IFERROR(INDEX('Daily Plan'!$G$6:$G$35,MATCH(F5,'Daily Plan'!$B$6:$B$35,0)),"")</f>
        <v/>
      </c>
      <c r="G7" s="6">
        <f>IFERROR(INDEX('Daily Plan'!$G$6:$G$35,MATCH(G5,'Daily Plan'!$B$6:$B$35,0)),"")</f>
        <v/>
      </c>
    </row>
    <row r="8" ht="18" customHeight="1">
      <c r="A8" s="7">
        <f>IFERROR(INDEX('Daily Plan'!$E$6:$E$35,MATCH(A5,'Daily Plan'!$B$6:$B$35,0)),"")</f>
        <v/>
      </c>
      <c r="B8" s="7">
        <f>IFERROR(INDEX('Daily Plan'!$E$6:$E$35,MATCH(B5,'Daily Plan'!$B$6:$B$35,0)),"")</f>
        <v/>
      </c>
      <c r="C8" s="7">
        <f>IFERROR(INDEX('Daily Plan'!$E$6:$E$35,MATCH(C5,'Daily Plan'!$B$6:$B$35,0)),"")</f>
        <v/>
      </c>
      <c r="D8" s="7">
        <f>IFERROR(INDEX('Daily Plan'!$E$6:$E$35,MATCH(D5,'Daily Plan'!$B$6:$B$35,0)),"")</f>
        <v/>
      </c>
      <c r="E8" s="7">
        <f>IFERROR(INDEX('Daily Plan'!$E$6:$E$35,MATCH(E5,'Daily Plan'!$B$6:$B$35,0)),"")</f>
        <v/>
      </c>
      <c r="F8" s="7">
        <f>IFERROR(INDEX('Daily Plan'!$E$6:$E$35,MATCH(F5,'Daily Plan'!$B$6:$B$35,0)),"")</f>
        <v/>
      </c>
      <c r="G8" s="7">
        <f>IFERROR(INDEX('Daily Plan'!$E$6:$E$35,MATCH(G5,'Daily Plan'!$B$6:$B$35,0)),"")</f>
        <v/>
      </c>
    </row>
    <row r="9" ht="20" customHeight="1">
      <c r="A9" s="4" t="n">
        <v>46314</v>
      </c>
      <c r="B9" s="4" t="n">
        <v>46315</v>
      </c>
      <c r="C9" s="4" t="n">
        <v>46316</v>
      </c>
      <c r="D9" s="4" t="n">
        <v>46317</v>
      </c>
      <c r="E9" s="4" t="n">
        <v>46318</v>
      </c>
      <c r="F9" s="4" t="n">
        <v>46319</v>
      </c>
      <c r="G9" s="4" t="n">
        <v>46320</v>
      </c>
    </row>
    <row r="10" ht="54" customHeight="1">
      <c r="A10" s="5">
        <f>IFERROR(INDEX('Daily Plan'!$F$6:$F$35,MATCH(A9,'Daily Plan'!$B$6:$B$35,0)),"")</f>
        <v/>
      </c>
      <c r="B10" s="5">
        <f>IFERROR(INDEX('Daily Plan'!$F$6:$F$35,MATCH(B9,'Daily Plan'!$B$6:$B$35,0)),"")</f>
        <v/>
      </c>
      <c r="C10" s="5">
        <f>IFERROR(INDEX('Daily Plan'!$F$6:$F$35,MATCH(C9,'Daily Plan'!$B$6:$B$35,0)),"")</f>
        <v/>
      </c>
      <c r="D10" s="5">
        <f>IFERROR(INDEX('Daily Plan'!$F$6:$F$35,MATCH(D9,'Daily Plan'!$B$6:$B$35,0)),"")</f>
        <v/>
      </c>
      <c r="E10" s="5">
        <f>IFERROR(INDEX('Daily Plan'!$F$6:$F$35,MATCH(E9,'Daily Plan'!$B$6:$B$35,0)),"")</f>
        <v/>
      </c>
      <c r="F10" s="5">
        <f>IFERROR(INDEX('Daily Plan'!$F$6:$F$35,MATCH(F9,'Daily Plan'!$B$6:$B$35,0)),"")</f>
        <v/>
      </c>
      <c r="G10" s="5">
        <f>IFERROR(INDEX('Daily Plan'!$F$6:$F$35,MATCH(G9,'Daily Plan'!$B$6:$B$35,0)),"")</f>
        <v/>
      </c>
    </row>
    <row r="11" ht="26" customHeight="1">
      <c r="A11" s="6">
        <f>IFERROR(INDEX('Daily Plan'!$G$6:$G$35,MATCH(A9,'Daily Plan'!$B$6:$B$35,0)),"")</f>
        <v/>
      </c>
      <c r="B11" s="6">
        <f>IFERROR(INDEX('Daily Plan'!$G$6:$G$35,MATCH(B9,'Daily Plan'!$B$6:$B$35,0)),"")</f>
        <v/>
      </c>
      <c r="C11" s="6">
        <f>IFERROR(INDEX('Daily Plan'!$G$6:$G$35,MATCH(C9,'Daily Plan'!$B$6:$B$35,0)),"")</f>
        <v/>
      </c>
      <c r="D11" s="6">
        <f>IFERROR(INDEX('Daily Plan'!$G$6:$G$35,MATCH(D9,'Daily Plan'!$B$6:$B$35,0)),"")</f>
        <v/>
      </c>
      <c r="E11" s="6">
        <f>IFERROR(INDEX('Daily Plan'!$G$6:$G$35,MATCH(E9,'Daily Plan'!$B$6:$B$35,0)),"")</f>
        <v/>
      </c>
      <c r="F11" s="6">
        <f>IFERROR(INDEX('Daily Plan'!$G$6:$G$35,MATCH(F9,'Daily Plan'!$B$6:$B$35,0)),"")</f>
        <v/>
      </c>
      <c r="G11" s="6">
        <f>IFERROR(INDEX('Daily Plan'!$G$6:$G$35,MATCH(G9,'Daily Plan'!$B$6:$B$35,0)),"")</f>
        <v/>
      </c>
    </row>
    <row r="12" ht="18" customHeight="1">
      <c r="A12" s="7">
        <f>IFERROR(INDEX('Daily Plan'!$E$6:$E$35,MATCH(A9,'Daily Plan'!$B$6:$B$35,0)),"")</f>
        <v/>
      </c>
      <c r="B12" s="7">
        <f>IFERROR(INDEX('Daily Plan'!$E$6:$E$35,MATCH(B9,'Daily Plan'!$B$6:$B$35,0)),"")</f>
        <v/>
      </c>
      <c r="C12" s="7">
        <f>IFERROR(INDEX('Daily Plan'!$E$6:$E$35,MATCH(C9,'Daily Plan'!$B$6:$B$35,0)),"")</f>
        <v/>
      </c>
      <c r="D12" s="7">
        <f>IFERROR(INDEX('Daily Plan'!$E$6:$E$35,MATCH(D9,'Daily Plan'!$B$6:$B$35,0)),"")</f>
        <v/>
      </c>
      <c r="E12" s="7">
        <f>IFERROR(INDEX('Daily Plan'!$E$6:$E$35,MATCH(E9,'Daily Plan'!$B$6:$B$35,0)),"")</f>
        <v/>
      </c>
      <c r="F12" s="7">
        <f>IFERROR(INDEX('Daily Plan'!$E$6:$E$35,MATCH(F9,'Daily Plan'!$B$6:$B$35,0)),"")</f>
        <v/>
      </c>
      <c r="G12" s="7">
        <f>IFERROR(INDEX('Daily Plan'!$E$6:$E$35,MATCH(G9,'Daily Plan'!$B$6:$B$35,0)),"")</f>
        <v/>
      </c>
    </row>
    <row r="13" ht="20" customHeight="1">
      <c r="A13" s="4" t="n">
        <v>46321</v>
      </c>
      <c r="B13" s="4" t="n">
        <v>46322</v>
      </c>
      <c r="C13" s="4" t="n">
        <v>46323</v>
      </c>
      <c r="D13" s="4" t="n">
        <v>46324</v>
      </c>
      <c r="E13" s="4" t="n">
        <v>46325</v>
      </c>
      <c r="F13" s="8" t="n">
        <v>46326</v>
      </c>
      <c r="G13" s="9" t="n">
        <v>46327</v>
      </c>
    </row>
    <row r="14" ht="54" customHeight="1">
      <c r="A14" s="5">
        <f>IFERROR(INDEX('Daily Plan'!$F$6:$F$35,MATCH(A13,'Daily Plan'!$B$6:$B$35,0)),"")</f>
        <v/>
      </c>
      <c r="B14" s="5">
        <f>IFERROR(INDEX('Daily Plan'!$F$6:$F$35,MATCH(B13,'Daily Plan'!$B$6:$B$35,0)),"")</f>
        <v/>
      </c>
      <c r="C14" s="5">
        <f>IFERROR(INDEX('Daily Plan'!$F$6:$F$35,MATCH(C13,'Daily Plan'!$B$6:$B$35,0)),"")</f>
        <v/>
      </c>
      <c r="D14" s="5">
        <f>IFERROR(INDEX('Daily Plan'!$F$6:$F$35,MATCH(D13,'Daily Plan'!$B$6:$B$35,0)),"")</f>
        <v/>
      </c>
      <c r="E14" s="5">
        <f>IFERROR(INDEX('Daily Plan'!$F$6:$F$35,MATCH(E13,'Daily Plan'!$B$6:$B$35,0)),"")</f>
        <v/>
      </c>
      <c r="F14" s="5">
        <f>IFERROR(INDEX('Daily Plan'!$F$6:$F$35,MATCH(F13,'Daily Plan'!$B$6:$B$35,0)),"")</f>
        <v/>
      </c>
      <c r="G14" s="5">
        <f>IFERROR(INDEX('Daily Plan'!$F$6:$F$35,MATCH(G13,'Daily Plan'!$B$6:$B$35,0)),"")</f>
        <v/>
      </c>
    </row>
    <row r="15" ht="26" customHeight="1">
      <c r="A15" s="6">
        <f>IFERROR(INDEX('Daily Plan'!$G$6:$G$35,MATCH(A13,'Daily Plan'!$B$6:$B$35,0)),"")</f>
        <v/>
      </c>
      <c r="B15" s="6">
        <f>IFERROR(INDEX('Daily Plan'!$G$6:$G$35,MATCH(B13,'Daily Plan'!$B$6:$B$35,0)),"")</f>
        <v/>
      </c>
      <c r="C15" s="6">
        <f>IFERROR(INDEX('Daily Plan'!$G$6:$G$35,MATCH(C13,'Daily Plan'!$B$6:$B$35,0)),"")</f>
        <v/>
      </c>
      <c r="D15" s="6">
        <f>IFERROR(INDEX('Daily Plan'!$G$6:$G$35,MATCH(D13,'Daily Plan'!$B$6:$B$35,0)),"")</f>
        <v/>
      </c>
      <c r="E15" s="6">
        <f>IFERROR(INDEX('Daily Plan'!$G$6:$G$35,MATCH(E13,'Daily Plan'!$B$6:$B$35,0)),"")</f>
        <v/>
      </c>
      <c r="F15" s="6">
        <f>IFERROR(INDEX('Daily Plan'!$G$6:$G$35,MATCH(F13,'Daily Plan'!$B$6:$B$35,0)),"")</f>
        <v/>
      </c>
      <c r="G15" s="6">
        <f>IFERROR(INDEX('Daily Plan'!$G$6:$G$35,MATCH(G13,'Daily Plan'!$B$6:$B$35,0)),"")</f>
        <v/>
      </c>
    </row>
    <row r="16" ht="18" customHeight="1">
      <c r="A16" s="7">
        <f>IFERROR(INDEX('Daily Plan'!$E$6:$E$35,MATCH(A13,'Daily Plan'!$B$6:$B$35,0)),"")</f>
        <v/>
      </c>
      <c r="B16" s="7">
        <f>IFERROR(INDEX('Daily Plan'!$E$6:$E$35,MATCH(B13,'Daily Plan'!$B$6:$B$35,0)),"")</f>
        <v/>
      </c>
      <c r="C16" s="7">
        <f>IFERROR(INDEX('Daily Plan'!$E$6:$E$35,MATCH(C13,'Daily Plan'!$B$6:$B$35,0)),"")</f>
        <v/>
      </c>
      <c r="D16" s="7">
        <f>IFERROR(INDEX('Daily Plan'!$E$6:$E$35,MATCH(D13,'Daily Plan'!$B$6:$B$35,0)),"")</f>
        <v/>
      </c>
      <c r="E16" s="7">
        <f>IFERROR(INDEX('Daily Plan'!$E$6:$E$35,MATCH(E13,'Daily Plan'!$B$6:$B$35,0)),"")</f>
        <v/>
      </c>
      <c r="F16" s="7">
        <f>IFERROR(INDEX('Daily Plan'!$E$6:$E$35,MATCH(F13,'Daily Plan'!$B$6:$B$35,0)),"")</f>
        <v/>
      </c>
      <c r="G16" s="7">
        <f>IFERROR(INDEX('Daily Plan'!$E$6:$E$35,MATCH(G13,'Daily Plan'!$B$6:$B$35,0)),"")</f>
        <v/>
      </c>
    </row>
    <row r="17" ht="20" customHeight="1">
      <c r="A17" s="4" t="n">
        <v>46328</v>
      </c>
      <c r="B17" s="4" t="n">
        <v>46329</v>
      </c>
      <c r="C17" s="4" t="n">
        <v>46330</v>
      </c>
      <c r="D17" s="4" t="n">
        <v>46331</v>
      </c>
      <c r="E17" s="4" t="n">
        <v>46332</v>
      </c>
      <c r="F17" s="4" t="n">
        <v>46333</v>
      </c>
      <c r="G17" s="4" t="n">
        <v>46334</v>
      </c>
    </row>
    <row r="18" ht="54" customHeight="1">
      <c r="A18" s="5">
        <f>IFERROR(INDEX('Daily Plan'!$F$6:$F$35,MATCH(A17,'Daily Plan'!$B$6:$B$35,0)),"")</f>
        <v/>
      </c>
      <c r="B18" s="5">
        <f>IFERROR(INDEX('Daily Plan'!$F$6:$F$35,MATCH(B17,'Daily Plan'!$B$6:$B$35,0)),"")</f>
        <v/>
      </c>
      <c r="C18" s="5">
        <f>IFERROR(INDEX('Daily Plan'!$F$6:$F$35,MATCH(C17,'Daily Plan'!$B$6:$B$35,0)),"")</f>
        <v/>
      </c>
      <c r="D18" s="5">
        <f>IFERROR(INDEX('Daily Plan'!$F$6:$F$35,MATCH(D17,'Daily Plan'!$B$6:$B$35,0)),"")</f>
        <v/>
      </c>
      <c r="E18" s="5">
        <f>IFERROR(INDEX('Daily Plan'!$F$6:$F$35,MATCH(E17,'Daily Plan'!$B$6:$B$35,0)),"")</f>
        <v/>
      </c>
      <c r="F18" s="5">
        <f>IFERROR(INDEX('Daily Plan'!$F$6:$F$35,MATCH(F17,'Daily Plan'!$B$6:$B$35,0)),"")</f>
        <v/>
      </c>
      <c r="G18" s="5">
        <f>IFERROR(INDEX('Daily Plan'!$F$6:$F$35,MATCH(G17,'Daily Plan'!$B$6:$B$35,0)),"")</f>
        <v/>
      </c>
    </row>
    <row r="19" ht="26" customHeight="1">
      <c r="A19" s="6">
        <f>IFERROR(INDEX('Daily Plan'!$G$6:$G$35,MATCH(A17,'Daily Plan'!$B$6:$B$35,0)),"")</f>
        <v/>
      </c>
      <c r="B19" s="6">
        <f>IFERROR(INDEX('Daily Plan'!$G$6:$G$35,MATCH(B17,'Daily Plan'!$B$6:$B$35,0)),"")</f>
        <v/>
      </c>
      <c r="C19" s="6">
        <f>IFERROR(INDEX('Daily Plan'!$G$6:$G$35,MATCH(C17,'Daily Plan'!$B$6:$B$35,0)),"")</f>
        <v/>
      </c>
      <c r="D19" s="6">
        <f>IFERROR(INDEX('Daily Plan'!$G$6:$G$35,MATCH(D17,'Daily Plan'!$B$6:$B$35,0)),"")</f>
        <v/>
      </c>
      <c r="E19" s="6">
        <f>IFERROR(INDEX('Daily Plan'!$G$6:$G$35,MATCH(E17,'Daily Plan'!$B$6:$B$35,0)),"")</f>
        <v/>
      </c>
      <c r="F19" s="6">
        <f>IFERROR(INDEX('Daily Plan'!$G$6:$G$35,MATCH(F17,'Daily Plan'!$B$6:$B$35,0)),"")</f>
        <v/>
      </c>
      <c r="G19" s="6">
        <f>IFERROR(INDEX('Daily Plan'!$G$6:$G$35,MATCH(G17,'Daily Plan'!$B$6:$B$35,0)),"")</f>
        <v/>
      </c>
    </row>
    <row r="20" ht="18" customHeight="1">
      <c r="A20" s="7">
        <f>IFERROR(INDEX('Daily Plan'!$E$6:$E$35,MATCH(A17,'Daily Plan'!$B$6:$B$35,0)),"")</f>
        <v/>
      </c>
      <c r="B20" s="7">
        <f>IFERROR(INDEX('Daily Plan'!$E$6:$E$35,MATCH(B17,'Daily Plan'!$B$6:$B$35,0)),"")</f>
        <v/>
      </c>
      <c r="C20" s="7">
        <f>IFERROR(INDEX('Daily Plan'!$E$6:$E$35,MATCH(C17,'Daily Plan'!$B$6:$B$35,0)),"")</f>
        <v/>
      </c>
      <c r="D20" s="7">
        <f>IFERROR(INDEX('Daily Plan'!$E$6:$E$35,MATCH(D17,'Daily Plan'!$B$6:$B$35,0)),"")</f>
        <v/>
      </c>
      <c r="E20" s="7">
        <f>IFERROR(INDEX('Daily Plan'!$E$6:$E$35,MATCH(E17,'Daily Plan'!$B$6:$B$35,0)),"")</f>
        <v/>
      </c>
      <c r="F20" s="7">
        <f>IFERROR(INDEX('Daily Plan'!$E$6:$E$35,MATCH(F17,'Daily Plan'!$B$6:$B$35,0)),"")</f>
        <v/>
      </c>
      <c r="G20" s="7">
        <f>IFERROR(INDEX('Daily Plan'!$E$6:$E$35,MATCH(G17,'Daily Plan'!$B$6:$B$35,0)),"")</f>
        <v/>
      </c>
    </row>
    <row r="21" ht="20" customHeight="1">
      <c r="A21" s="4" t="n">
        <v>46335</v>
      </c>
      <c r="B21" s="4" t="n">
        <v>46336</v>
      </c>
      <c r="C21" s="10" t="n">
        <v>46337</v>
      </c>
      <c r="D21" s="11" t="n">
        <v>46338</v>
      </c>
      <c r="E21" s="11" t="n">
        <v>46339</v>
      </c>
      <c r="F21" s="11" t="n">
        <v>46340</v>
      </c>
      <c r="G21" s="11" t="n">
        <v>46341</v>
      </c>
    </row>
    <row r="22" ht="54" customHeight="1">
      <c r="A22" s="5">
        <f>IFERROR(INDEX('Daily Plan'!$F$6:$F$35,MATCH(A21,'Daily Plan'!$B$6:$B$35,0)),"")</f>
        <v/>
      </c>
      <c r="B22" s="5">
        <f>IFERROR(INDEX('Daily Plan'!$F$6:$F$35,MATCH(B21,'Daily Plan'!$B$6:$B$35,0)),"")</f>
        <v/>
      </c>
      <c r="C22" s="12">
        <f>IFERROR(INDEX('Daily Plan'!$F$6:$F$35,MATCH(C21,'Daily Plan'!$B$6:$B$35,0)),"")</f>
        <v/>
      </c>
      <c r="D22" s="12">
        <f>IFERROR(INDEX('Daily Plan'!$F$6:$F$35,MATCH(D21,'Daily Plan'!$B$6:$B$35,0)),"")</f>
        <v/>
      </c>
      <c r="E22" s="12">
        <f>IFERROR(INDEX('Daily Plan'!$F$6:$F$35,MATCH(E21,'Daily Plan'!$B$6:$B$35,0)),"")</f>
        <v/>
      </c>
      <c r="F22" s="12">
        <f>IFERROR(INDEX('Daily Plan'!$F$6:$F$35,MATCH(F21,'Daily Plan'!$B$6:$B$35,0)),"")</f>
        <v/>
      </c>
      <c r="G22" s="12">
        <f>IFERROR(INDEX('Daily Plan'!$F$6:$F$35,MATCH(G21,'Daily Plan'!$B$6:$B$35,0)),"")</f>
        <v/>
      </c>
    </row>
    <row r="23" ht="26" customHeight="1">
      <c r="A23" s="6">
        <f>IFERROR(INDEX('Daily Plan'!$G$6:$G$35,MATCH(A21,'Daily Plan'!$B$6:$B$35,0)),"")</f>
        <v/>
      </c>
      <c r="B23" s="6">
        <f>IFERROR(INDEX('Daily Plan'!$G$6:$G$35,MATCH(B21,'Daily Plan'!$B$6:$B$35,0)),"")</f>
        <v/>
      </c>
      <c r="C23" s="13">
        <f>IFERROR(INDEX('Daily Plan'!$G$6:$G$35,MATCH(C21,'Daily Plan'!$B$6:$B$35,0)),"")</f>
        <v/>
      </c>
      <c r="D23" s="13">
        <f>IFERROR(INDEX('Daily Plan'!$G$6:$G$35,MATCH(D21,'Daily Plan'!$B$6:$B$35,0)),"")</f>
        <v/>
      </c>
      <c r="E23" s="13">
        <f>IFERROR(INDEX('Daily Plan'!$G$6:$G$35,MATCH(E21,'Daily Plan'!$B$6:$B$35,0)),"")</f>
        <v/>
      </c>
      <c r="F23" s="13">
        <f>IFERROR(INDEX('Daily Plan'!$G$6:$G$35,MATCH(F21,'Daily Plan'!$B$6:$B$35,0)),"")</f>
        <v/>
      </c>
      <c r="G23" s="13">
        <f>IFERROR(INDEX('Daily Plan'!$G$6:$G$35,MATCH(G21,'Daily Plan'!$B$6:$B$35,0)),"")</f>
        <v/>
      </c>
    </row>
    <row r="24" ht="18" customHeight="1">
      <c r="A24" s="7">
        <f>IFERROR(INDEX('Daily Plan'!$E$6:$E$35,MATCH(A21,'Daily Plan'!$B$6:$B$35,0)),"")</f>
        <v/>
      </c>
      <c r="B24" s="7">
        <f>IFERROR(INDEX('Daily Plan'!$E$6:$E$35,MATCH(B21,'Daily Plan'!$B$6:$B$35,0)),"")</f>
        <v/>
      </c>
      <c r="C24" s="14">
        <f>IFERROR(INDEX('Daily Plan'!$E$6:$E$35,MATCH(C21,'Daily Plan'!$B$6:$B$35,0)),"")</f>
        <v/>
      </c>
      <c r="D24" s="14">
        <f>IFERROR(INDEX('Daily Plan'!$E$6:$E$35,MATCH(D21,'Daily Plan'!$B$6:$B$35,0)),"")</f>
        <v/>
      </c>
      <c r="E24" s="14">
        <f>IFERROR(INDEX('Daily Plan'!$E$6:$E$35,MATCH(E21,'Daily Plan'!$B$6:$B$35,0)),"")</f>
        <v/>
      </c>
      <c r="F24" s="14">
        <f>IFERROR(INDEX('Daily Plan'!$E$6:$E$35,MATCH(F21,'Daily Plan'!$B$6:$B$35,0)),"")</f>
        <v/>
      </c>
      <c r="G24" s="14">
        <f>IFERROR(INDEX('Daily Plan'!$E$6:$E$35,MATCH(G21,'Daily Plan'!$B$6:$B$35,0)),"")</f>
        <v/>
      </c>
    </row>
    <row r="26">
      <c r="A26" s="15" t="inlineStr">
        <is>
          <t>Week themes</t>
        </is>
      </c>
    </row>
    <row r="27">
      <c r="A27" s="16" t="inlineStr">
        <is>
          <t>Week 1: Speed and security (12 to 18 Oct)</t>
        </is>
      </c>
    </row>
    <row r="28">
      <c r="A28" s="16" t="inlineStr">
        <is>
          <t>Week 2: AI search (19 to 25 Oct)</t>
        </is>
      </c>
    </row>
    <row r="29">
      <c r="A29" s="16" t="inlineStr">
        <is>
          <t>Week 3: Spam update, local and Halloween (26 Oct to 1 Nov)</t>
        </is>
      </c>
    </row>
    <row r="30">
      <c r="A30" s="16" t="inlineStr">
        <is>
          <t>Week 4: Black Friday prep (2 to 8 Nov)</t>
        </is>
      </c>
    </row>
    <row r="31">
      <c r="A31" s="16" t="inlineStr">
        <is>
          <t>Wrap up and countdown (9 to 10 Nov)</t>
        </is>
      </c>
    </row>
    <row r="33">
      <c r="A33" s="17" t="inlineStr">
        <is>
          <t>Key dates ahead: Halloween 31 Oct, US clocks change 1 Nov, Thanksgiving 26 Nov, Black Friday 27 Nov, Small Business Saturday 28 Nov, Cyber Monday 30 Nov.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26" customWidth="1" min="4" max="4"/>
    <col width="15" customWidth="1" min="5" max="5"/>
    <col width="40" customWidth="1" min="6" max="6"/>
    <col width="18" customWidth="1" min="7" max="7"/>
    <col width="30" customWidth="1" min="8" max="8"/>
    <col width="40" customWidth="1" min="9" max="9"/>
    <col width="56" customWidth="1" min="10" max="10"/>
    <col width="34" customWidth="1" min="11" max="11"/>
    <col width="36" customWidth="1" min="12" max="12"/>
    <col width="26" customWidth="1" min="13" max="13"/>
    <col width="30" customWidth="1" min="14" max="14"/>
    <col width="34" customWidth="1" min="15" max="15"/>
    <col width="13" customWidth="1" min="16" max="16"/>
    <col width="28" customWidth="1" min="17" max="17"/>
  </cols>
  <sheetData>
    <row r="1">
      <c r="A1" s="18" t="inlineStr">
        <is>
          <t>Vyntic Studio: 30 Day Social Media Plan</t>
        </is>
      </c>
    </row>
    <row r="2">
      <c r="A2" s="2" t="inlineStr">
        <is>
          <t>Monday 12 October to Tuesday 10 November 2026. One main post a day, built on topics trending now. Yellow columns are yours to update.</t>
        </is>
      </c>
    </row>
    <row r="3">
      <c r="A3" s="19" t="inlineStr">
        <is>
          <t>Posts planned</t>
        </is>
      </c>
      <c r="C3" s="19" t="inlineStr">
        <is>
          <t>Scheduled</t>
        </is>
      </c>
      <c r="E3" s="19" t="inlineStr">
        <is>
          <t>Published</t>
        </is>
      </c>
      <c r="G3" s="19" t="inlineStr">
        <is>
          <t>Still to do</t>
        </is>
      </c>
    </row>
    <row r="4">
      <c r="A4" s="20">
        <f>COUNTA(F6:F35)</f>
        <v/>
      </c>
      <c r="C4" s="20">
        <f>COUNTIF(P6:P35,"Scheduled")</f>
        <v/>
      </c>
      <c r="E4" s="20">
        <f>COUNTIF(P6:P35,"Published")</f>
        <v/>
      </c>
      <c r="G4" s="20">
        <f>COUNTIF(P6:P35,"To do")+COUNTIF(P6:P35,"In progress")</f>
        <v/>
      </c>
    </row>
    <row r="5" ht="30" customHeight="1">
      <c r="A5" s="21" t="inlineStr">
        <is>
          <t>Day</t>
        </is>
      </c>
      <c r="B5" s="21" t="inlineStr">
        <is>
          <t>Date</t>
        </is>
      </c>
      <c r="C5" s="21" t="inlineStr">
        <is>
          <t>Weekday</t>
        </is>
      </c>
      <c r="D5" s="21" t="inlineStr">
        <is>
          <t>Week theme</t>
        </is>
      </c>
      <c r="E5" s="21" t="inlineStr">
        <is>
          <t>Pillar</t>
        </is>
      </c>
      <c r="F5" s="21" t="inlineStr">
        <is>
          <t>Topic</t>
        </is>
      </c>
      <c r="G5" s="21" t="inlineStr">
        <is>
          <t>Format</t>
        </is>
      </c>
      <c r="H5" s="21" t="inlineStr">
        <is>
          <t>Platforms</t>
        </is>
      </c>
      <c r="I5" s="21" t="inlineStr">
        <is>
          <t>Hook (first line)</t>
        </is>
      </c>
      <c r="J5" s="21" t="inlineStr">
        <is>
          <t>Key points</t>
        </is>
      </c>
      <c r="K5" s="21" t="inlineStr">
        <is>
          <t>Trending keywords</t>
        </is>
      </c>
      <c r="L5" s="21" t="inlineStr">
        <is>
          <t>Hashtags</t>
        </is>
      </c>
      <c r="M5" s="21" t="inlineStr">
        <is>
          <t>Call to action</t>
        </is>
      </c>
      <c r="N5" s="21" t="inlineStr">
        <is>
          <t>Asset to create</t>
        </is>
      </c>
      <c r="O5" s="21" t="inlineStr">
        <is>
          <t>Link</t>
        </is>
      </c>
      <c r="P5" s="22" t="inlineStr">
        <is>
          <t>Status</t>
        </is>
      </c>
      <c r="Q5" s="22" t="inlineStr">
        <is>
          <t>Notes</t>
        </is>
      </c>
    </row>
    <row r="6">
      <c r="A6" s="23" t="n">
        <v>1</v>
      </c>
      <c r="B6" s="24" t="n">
        <v>46307</v>
      </c>
      <c r="C6" s="23" t="inlineStr">
        <is>
          <t>Monday</t>
        </is>
      </c>
      <c r="D6" s="23" t="inlineStr">
        <is>
          <t>Week 1: Speed and security</t>
        </is>
      </c>
      <c r="E6" s="25" t="inlineStr">
        <is>
          <t>Product</t>
        </is>
      </c>
      <c r="F6" s="26" t="inlineStr">
        <is>
          <t>Free WordPress speed plugin launch</t>
        </is>
      </c>
      <c r="G6" s="23" t="inlineStr">
        <is>
          <t>Reel (ready)</t>
        </is>
      </c>
      <c r="H6" s="23" t="inlineStr">
        <is>
          <t>Instagram Reels, Facebook, TikTok, YouTube Shorts, LinkedIn</t>
        </is>
      </c>
      <c r="I6" s="23" t="inlineStr">
        <is>
          <t>Your WordPress site scores 31 on mobile?</t>
        </is>
      </c>
      <c r="J6" s="23" t="inlineStr">
        <is>
          <t>Show the 31 to 98 jump, the four features, free with no account or API key.</t>
        </is>
      </c>
      <c r="K6" s="23" t="inlineStr">
        <is>
          <t>WordPress speed optimization, Core Web Vitals, PageSpeed Insights</t>
        </is>
      </c>
      <c r="L6" s="23" t="inlineStr">
        <is>
          <t>#wordpress #pagespeed #corewebvitals #websitespeed #wordpressplugin</t>
        </is>
      </c>
      <c r="M6" s="23" t="inlineStr">
        <is>
          <t>Comment SPEED for the link</t>
        </is>
      </c>
      <c r="N6" s="23" t="inlineStr">
        <is>
          <t>vyntic-reel-speed-optimizer.mp4</t>
        </is>
      </c>
      <c r="O6" s="27" t="inlineStr">
        <is>
          <t>https://vyntic.studio/plugins/vyntic-speed-optimizer/</t>
        </is>
      </c>
      <c r="P6" s="28" t="inlineStr">
        <is>
          <t>To do</t>
        </is>
      </c>
      <c r="Q6" s="28" t="n"/>
    </row>
    <row r="7">
      <c r="A7" s="23" t="n">
        <v>2</v>
      </c>
      <c r="B7" s="24" t="n">
        <v>46308</v>
      </c>
      <c r="C7" s="23" t="inlineStr">
        <is>
          <t>Tuesday</t>
        </is>
      </c>
      <c r="D7" s="23" t="inlineStr">
        <is>
          <t>Week 1: Speed and security</t>
        </is>
      </c>
      <c r="E7" s="29" t="inlineStr">
        <is>
          <t>News</t>
        </is>
      </c>
      <c r="F7" s="26" t="inlineStr">
        <is>
          <t>WordPress 7.1.3 security release: update now</t>
        </is>
      </c>
      <c r="G7" s="23" t="inlineStr">
        <is>
          <t>Single image + text</t>
        </is>
      </c>
      <c r="H7" s="23" t="inlineStr">
        <is>
          <t>LinkedIn, Facebook, X, Google Business Profile</t>
        </is>
      </c>
      <c r="I7" s="23" t="inlineStr">
        <is>
          <t>WordPress fixed 7 security holes on October 6. Is your site updated?</t>
        </is>
      </c>
      <c r="J7" s="23" t="inlineStr">
        <is>
          <t>7 security fixes and 4 bug fixes. Safe update steps: backup, update on staging, update plugins, test forms and checkout.</t>
        </is>
      </c>
      <c r="K7" s="23" t="inlineStr">
        <is>
          <t>WordPress 7.1.3, WordPress security update</t>
        </is>
      </c>
      <c r="L7" s="23" t="inlineStr">
        <is>
          <t>#wordpress #wordpresssecurity #websitesecurity #smallbusiness</t>
        </is>
      </c>
      <c r="M7" s="23" t="inlineStr">
        <is>
          <t>DM us UPDATE and we will check your site</t>
        </is>
      </c>
      <c r="N7" s="23" t="inlineStr">
        <is>
          <t>News graphic: '7.1.3 is out. Update today.'</t>
        </is>
      </c>
      <c r="O7" s="27" t="inlineStr">
        <is>
          <t>https://wordpress.org/news/2026/10/wordpress-7-1-3-maintenance-and-security-release/</t>
        </is>
      </c>
      <c r="P7" s="28" t="inlineStr">
        <is>
          <t>To do</t>
        </is>
      </c>
      <c r="Q7" s="28" t="n"/>
    </row>
    <row r="8">
      <c r="A8" s="23" t="n">
        <v>3</v>
      </c>
      <c r="B8" s="24" t="n">
        <v>46309</v>
      </c>
      <c r="C8" s="23" t="inlineStr">
        <is>
          <t>Wednesday</t>
        </is>
      </c>
      <c r="D8" s="23" t="inlineStr">
        <is>
          <t>Week 1: Speed and security</t>
        </is>
      </c>
      <c r="E8" s="30" t="inlineStr">
        <is>
          <t>Educate</t>
        </is>
      </c>
      <c r="F8" s="26" t="inlineStr">
        <is>
          <t>Why is your WordPress site slow? 5 fixes</t>
        </is>
      </c>
      <c r="G8" s="23" t="inlineStr">
        <is>
          <t>Carousel (ready)</t>
        </is>
      </c>
      <c r="H8" s="23" t="inlineStr">
        <is>
          <t>Instagram, Facebook, LinkedIn (PDF)</t>
        </is>
      </c>
      <c r="I8" s="23" t="inlineStr">
        <is>
          <t>5 problems we fix on almost every WordPress site</t>
        </is>
      </c>
      <c r="J8" s="23" t="inlineStr">
        <is>
          <t>Scripts, no cache, heavy images, render-blocking CSS and fonts, nobody checks the score.</t>
        </is>
      </c>
      <c r="K8" s="23" t="inlineStr">
        <is>
          <t>website speed, Core Web Vitals, Total Blocking Time</t>
        </is>
      </c>
      <c r="L8" s="23" t="inlineStr">
        <is>
          <t>#wordpresstips #pagespeed #corewebvitals #seo #webdesign</t>
        </is>
      </c>
      <c r="M8" s="23" t="inlineStr">
        <is>
          <t>Save this post</t>
        </is>
      </c>
      <c r="N8" s="23" t="inlineStr">
        <is>
          <t>vyntic-carousel-speed.zip / .pdf</t>
        </is>
      </c>
      <c r="O8" s="27" t="inlineStr">
        <is>
          <t>https://vyntic.studio/plugins/</t>
        </is>
      </c>
      <c r="P8" s="28" t="inlineStr">
        <is>
          <t>To do</t>
        </is>
      </c>
      <c r="Q8" s="28" t="n"/>
    </row>
    <row r="9">
      <c r="A9" s="23" t="n">
        <v>4</v>
      </c>
      <c r="B9" s="24" t="n">
        <v>46310</v>
      </c>
      <c r="C9" s="23" t="inlineStr">
        <is>
          <t>Thursday</t>
        </is>
      </c>
      <c r="D9" s="23" t="inlineStr">
        <is>
          <t>Week 1: Speed and security</t>
        </is>
      </c>
      <c r="E9" s="31" t="inlineStr">
        <is>
          <t>Proof</t>
        </is>
      </c>
      <c r="F9" s="26" t="inlineStr">
        <is>
          <t>Before and after: real client PageSpeed result</t>
        </is>
      </c>
      <c r="G9" s="23" t="inlineStr">
        <is>
          <t>Single image</t>
        </is>
      </c>
      <c r="H9" s="23" t="inlineStr">
        <is>
          <t>Instagram, Facebook, LinkedIn, Google Business Profile</t>
        </is>
      </c>
      <c r="I9" s="23" t="inlineStr">
        <is>
          <t>From 31 to 98 on mobile. Here is what we changed.</t>
        </is>
      </c>
      <c r="J9" s="23" t="inlineStr">
        <is>
          <t>Use a real client screenshot. List the 3 changes that made the biggest difference.</t>
        </is>
      </c>
      <c r="K9" s="23" t="inlineStr">
        <is>
          <t>PageSpeed score, LCP, website speed</t>
        </is>
      </c>
      <c r="L9" s="23" t="inlineStr">
        <is>
          <t>#casestudy #pagespeed #webdesign #wordpress</t>
        </is>
      </c>
      <c r="M9" s="23" t="inlineStr">
        <is>
          <t>Want the same? Book a free call</t>
        </is>
      </c>
      <c r="N9" s="23" t="inlineStr">
        <is>
          <t>vyntic-post-speed-optimizer.png (swap in real numbers)</t>
        </is>
      </c>
      <c r="O9" s="27" t="inlineStr">
        <is>
          <t>https://vyntic.studio/services/website-speed-optimization/</t>
        </is>
      </c>
      <c r="P9" s="28" t="inlineStr">
        <is>
          <t>To do</t>
        </is>
      </c>
      <c r="Q9" s="28" t="n"/>
    </row>
    <row r="10">
      <c r="A10" s="23" t="n">
        <v>5</v>
      </c>
      <c r="B10" s="24" t="n">
        <v>46311</v>
      </c>
      <c r="C10" s="23" t="inlineStr">
        <is>
          <t>Friday</t>
        </is>
      </c>
      <c r="D10" s="23" t="inlineStr">
        <is>
          <t>Week 1: Speed and security</t>
        </is>
      </c>
      <c r="E10" s="30" t="inlineStr">
        <is>
          <t>Educate</t>
        </is>
      </c>
      <c r="F10" s="26" t="inlineStr">
        <is>
          <t>What is LCP? Explained in 30 seconds</t>
        </is>
      </c>
      <c r="G10" s="23" t="inlineStr">
        <is>
          <t>Talking head video (30 s)</t>
        </is>
      </c>
      <c r="H10" s="23" t="inlineStr">
        <is>
          <t>Instagram Reels, TikTok, YouTube Shorts, LinkedIn</t>
        </is>
      </c>
      <c r="I10" s="23" t="inlineStr">
        <is>
          <t>Google is timing how fast your biggest image loads.</t>
        </is>
      </c>
      <c r="J10" s="23" t="inlineStr">
        <is>
          <t>LCP = time until the main content shows. Good is under 2.5 s. Top 3 fixes: compress hero image, preload it, use a page cache.</t>
        </is>
      </c>
      <c r="K10" s="23" t="inlineStr">
        <is>
          <t>Largest Contentful Paint, LCP, Core Web Vitals</t>
        </is>
      </c>
      <c r="L10" s="23" t="inlineStr">
        <is>
          <t>#corewebvitals #seo #websitespeed #wordpresstips</t>
        </is>
      </c>
      <c r="M10" s="23" t="inlineStr">
        <is>
          <t>Read the full guide (link in bio)</t>
        </is>
      </c>
      <c r="N10" s="23" t="inlineStr">
        <is>
          <t>Phone video, captions on</t>
        </is>
      </c>
      <c r="O10" s="27" t="inlineStr">
        <is>
          <t>https://vyntic.studio/core-web-vitals-explained/</t>
        </is>
      </c>
      <c r="P10" s="28" t="inlineStr">
        <is>
          <t>To do</t>
        </is>
      </c>
      <c r="Q10" s="28" t="n"/>
    </row>
    <row r="11">
      <c r="A11" s="32" t="n">
        <v>6</v>
      </c>
      <c r="B11" s="33" t="n">
        <v>46312</v>
      </c>
      <c r="C11" s="32" t="inlineStr">
        <is>
          <t>Saturday</t>
        </is>
      </c>
      <c r="D11" s="23" t="inlineStr">
        <is>
          <t>Week 1: Speed and security</t>
        </is>
      </c>
      <c r="E11" s="32" t="inlineStr">
        <is>
          <t>Behind the scenes</t>
        </is>
      </c>
      <c r="F11" s="26" t="inlineStr">
        <is>
          <t>How we build a website in 4 weeks</t>
        </is>
      </c>
      <c r="G11" s="23" t="inlineStr">
        <is>
          <t>Stories (5 frames)</t>
        </is>
      </c>
      <c r="H11" s="23" t="inlineStr">
        <is>
          <t>Instagram Stories, Facebook Stories</t>
        </is>
      </c>
      <c r="I11" s="23" t="inlineStr">
        <is>
          <t>A website in 4 weeks? Here is our real process.</t>
        </is>
      </c>
      <c r="J11" s="23" t="inlineStr">
        <is>
          <t>Week 1 plan and content, week 2 design, week 3 build, week 4 test, speed and launch.</t>
        </is>
      </c>
      <c r="K11" s="23" t="inlineStr">
        <is>
          <t>web design process, website redesign</t>
        </is>
      </c>
      <c r="L11" s="23" t="inlineStr">
        <is>
          <t>#webdesign #behindthescenes #agencylife</t>
        </is>
      </c>
      <c r="M11" s="23" t="inlineStr">
        <is>
          <t>Reply to this story with your questions</t>
        </is>
      </c>
      <c r="N11" s="23" t="inlineStr">
        <is>
          <t>Screens from Figma and WordPress</t>
        </is>
      </c>
      <c r="O11" s="27" t="inlineStr">
        <is>
          <t>https://vyntic.studio/services/web-design/</t>
        </is>
      </c>
      <c r="P11" s="28" t="inlineStr">
        <is>
          <t>To do</t>
        </is>
      </c>
      <c r="Q11" s="28" t="n"/>
    </row>
    <row r="12">
      <c r="A12" s="32" t="n">
        <v>7</v>
      </c>
      <c r="B12" s="33" t="n">
        <v>46313</v>
      </c>
      <c r="C12" s="32" t="inlineStr">
        <is>
          <t>Sunday</t>
        </is>
      </c>
      <c r="D12" s="23" t="inlineStr">
        <is>
          <t>Week 1: Speed and security</t>
        </is>
      </c>
      <c r="E12" s="34" t="inlineStr">
        <is>
          <t>Engage</t>
        </is>
      </c>
      <c r="F12" s="26" t="inlineStr">
        <is>
          <t>Poll: what slows your site the most?</t>
        </is>
      </c>
      <c r="G12" s="23" t="inlineStr">
        <is>
          <t>Poll</t>
        </is>
      </c>
      <c r="H12" s="23" t="inlineStr">
        <is>
          <t>Instagram Stories, LinkedIn, X</t>
        </is>
      </c>
      <c r="I12" s="23" t="inlineStr">
        <is>
          <t>Be honest: what is slowing your website down?</t>
        </is>
      </c>
      <c r="J12" s="23" t="inlineStr">
        <is>
          <t>Options: plugins, images, hosting, no idea. Share results on Monday.</t>
        </is>
      </c>
      <c r="K12" s="23" t="inlineStr">
        <is>
          <t>website speed</t>
        </is>
      </c>
      <c r="L12" s="23" t="inlineStr">
        <is>
          <t>#wordpress #webdesign</t>
        </is>
      </c>
      <c r="M12" s="23" t="inlineStr">
        <is>
          <t>Vote</t>
        </is>
      </c>
      <c r="N12" s="23" t="inlineStr">
        <is>
          <t>Poll sticker</t>
        </is>
      </c>
      <c r="O12" s="23" t="inlineStr"/>
      <c r="P12" s="28" t="inlineStr">
        <is>
          <t>To do</t>
        </is>
      </c>
      <c r="Q12" s="28" t="n"/>
    </row>
    <row r="13">
      <c r="A13" s="23" t="n">
        <v>8</v>
      </c>
      <c r="B13" s="24" t="n">
        <v>46314</v>
      </c>
      <c r="C13" s="23" t="inlineStr">
        <is>
          <t>Monday</t>
        </is>
      </c>
      <c r="D13" s="23" t="inlineStr">
        <is>
          <t>Week 2: AI search</t>
        </is>
      </c>
      <c r="E13" s="30" t="inlineStr">
        <is>
          <t>Educate</t>
        </is>
      </c>
      <c r="F13" s="26" t="inlineStr">
        <is>
          <t>AI Overviews are taking your clicks. What to do now</t>
        </is>
      </c>
      <c r="G13" s="23" t="inlineStr">
        <is>
          <t>Carousel (6 slides)</t>
        </is>
      </c>
      <c r="H13" s="23" t="inlineStr">
        <is>
          <t>Instagram, LinkedIn (PDF), Facebook</t>
        </is>
      </c>
      <c r="I13" s="23" t="inlineStr">
        <is>
          <t>Ranking number 1 is not enough anymore.</t>
        </is>
      </c>
      <c r="J13" s="23" t="inlineStr">
        <is>
          <t>Ahrefs: position 1 CTR is about 34.5% lower when an AI Overview shows. Answer questions directly, add FAQ and schema, build brand mentions, track AI traffic.</t>
        </is>
      </c>
      <c r="K13" s="23" t="inlineStr">
        <is>
          <t>AI Overviews, AI Mode, zero click search</t>
        </is>
      </c>
      <c r="L13" s="23" t="inlineStr">
        <is>
          <t>#seo #aioverviews #aisearch #googleseo #digitalmarketing</t>
        </is>
      </c>
      <c r="M13" s="23" t="inlineStr">
        <is>
          <t>Save and share with your marketing team</t>
        </is>
      </c>
      <c r="N13" s="23" t="inlineStr">
        <is>
          <t>6 slide carousel</t>
        </is>
      </c>
      <c r="O13" s="27" t="inlineStr">
        <is>
          <t>https://vyntic.studio/services/ai-search-visibility/</t>
        </is>
      </c>
      <c r="P13" s="28" t="inlineStr">
        <is>
          <t>To do</t>
        </is>
      </c>
      <c r="Q13" s="28" t="n"/>
    </row>
    <row r="14">
      <c r="A14" s="23" t="n">
        <v>9</v>
      </c>
      <c r="B14" s="24" t="n">
        <v>46315</v>
      </c>
      <c r="C14" s="23" t="inlineStr">
        <is>
          <t>Tuesday</t>
        </is>
      </c>
      <c r="D14" s="23" t="inlineStr">
        <is>
          <t>Week 2: AI search</t>
        </is>
      </c>
      <c r="E14" s="29" t="inlineStr">
        <is>
          <t>News</t>
        </is>
      </c>
      <c r="F14" s="26" t="inlineStr">
        <is>
          <t>Search Console now shows AI performance: how to read it</t>
        </is>
      </c>
      <c r="G14" s="23" t="inlineStr">
        <is>
          <t>Screen recording (45 s)</t>
        </is>
      </c>
      <c r="H14" s="23" t="inlineStr">
        <is>
          <t>LinkedIn, YouTube Shorts, X</t>
        </is>
      </c>
      <c r="I14" s="23" t="inlineStr">
        <is>
          <t>Google finally shows how you perform in AI search. Here is where to find it.</t>
        </is>
      </c>
      <c r="J14" s="23" t="inlineStr">
        <is>
          <t>Generative AI performance reports are rolled out to all sites. Show where it lives, what to look at, what to do with it.</t>
        </is>
      </c>
      <c r="K14" s="23" t="inlineStr">
        <is>
          <t>Search Console AI report, generative AI performance</t>
        </is>
      </c>
      <c r="L14" s="23" t="inlineStr">
        <is>
          <t>#seo #googlesearchconsole #aisearch</t>
        </is>
      </c>
      <c r="M14" s="23" t="inlineStr">
        <is>
          <t>Follow for weekly SEO updates</t>
        </is>
      </c>
      <c r="N14" s="23" t="inlineStr">
        <is>
          <t>Screen recording of Search Console</t>
        </is>
      </c>
      <c r="O14" s="27" t="inlineStr">
        <is>
          <t>https://www.seroundtable.com/october-2026-google-webmaster-report-42185.html</t>
        </is>
      </c>
      <c r="P14" s="28" t="inlineStr">
        <is>
          <t>To do</t>
        </is>
      </c>
      <c r="Q14" s="28" t="n"/>
    </row>
    <row r="15">
      <c r="A15" s="23" t="n">
        <v>10</v>
      </c>
      <c r="B15" s="24" t="n">
        <v>46316</v>
      </c>
      <c r="C15" s="23" t="inlineStr">
        <is>
          <t>Wednesday</t>
        </is>
      </c>
      <c r="D15" s="23" t="inlineStr">
        <is>
          <t>Week 2: AI search</t>
        </is>
      </c>
      <c r="E15" s="30" t="inlineStr">
        <is>
          <t>Educate</t>
        </is>
      </c>
      <c r="F15" s="26" t="inlineStr">
        <is>
          <t>How to get your business recommended by ChatGPT</t>
        </is>
      </c>
      <c r="G15" s="23" t="inlineStr">
        <is>
          <t>Reel (3 steps)</t>
        </is>
      </c>
      <c r="H15" s="23" t="inlineStr">
        <is>
          <t>Instagram Reels, TikTok, YouTube Shorts, LinkedIn</t>
        </is>
      </c>
      <c r="I15" s="23" t="inlineStr">
        <is>
          <t>Ask ChatGPT for the best dentist in your city. Are you in the answer?</t>
        </is>
      </c>
      <c r="J15" s="23" t="inlineStr">
        <is>
          <t>1. Clear service pages that answer questions. 2. Reviews and mentions on trusted sites. 3. Consistent business info everywhere.</t>
        </is>
      </c>
      <c r="K15" s="23" t="inlineStr">
        <is>
          <t>GEO, generative engine optimization, ChatGPT recommendations, AI search visibility</t>
        </is>
      </c>
      <c r="L15" s="23" t="inlineStr">
        <is>
          <t>#aisearch #chatgpt #seo #localbusiness #marketingtips</t>
        </is>
      </c>
      <c r="M15" s="23" t="inlineStr">
        <is>
          <t>Comment AI for our checklist</t>
        </is>
      </c>
      <c r="N15" s="23" t="inlineStr">
        <is>
          <t>vyntic.studio blog graphic + screen</t>
        </is>
      </c>
      <c r="O15" s="27" t="inlineStr">
        <is>
          <t>https://vyntic.studio/get-recommended-by-chatgpt/</t>
        </is>
      </c>
      <c r="P15" s="28" t="inlineStr">
        <is>
          <t>To do</t>
        </is>
      </c>
      <c r="Q15" s="28" t="n"/>
    </row>
    <row r="16">
      <c r="A16" s="23" t="n">
        <v>11</v>
      </c>
      <c r="B16" s="24" t="n">
        <v>46317</v>
      </c>
      <c r="C16" s="23" t="inlineStr">
        <is>
          <t>Thursday</t>
        </is>
      </c>
      <c r="D16" s="23" t="inlineStr">
        <is>
          <t>Week 2: AI search</t>
        </is>
      </c>
      <c r="E16" s="30" t="inlineStr">
        <is>
          <t>Educate</t>
        </is>
      </c>
      <c r="F16" s="26" t="inlineStr">
        <is>
          <t>SEO vs GEO: what actually changed in 2026</t>
        </is>
      </c>
      <c r="G16" s="23" t="inlineStr">
        <is>
          <t>Text post</t>
        </is>
      </c>
      <c r="H16" s="23" t="inlineStr">
        <is>
          <t>LinkedIn, X thread</t>
        </is>
      </c>
      <c r="I16" s="23" t="inlineStr">
        <is>
          <t>Everyone says SEO is dead. Our client data says something else.</t>
        </is>
      </c>
      <c r="J16" s="23" t="inlineStr">
        <is>
          <t>Traditional SEO still brings the high intent traffic. GEO adds: answer-first content, entities, citations, brand mentions. Do both.</t>
        </is>
      </c>
      <c r="K16" s="23" t="inlineStr">
        <is>
          <t>GEO, AEO, answer engine optimization, SEO 2026</t>
        </is>
      </c>
      <c r="L16" s="23" t="inlineStr">
        <is>
          <t>#seo #geo #aeo #marketing</t>
        </is>
      </c>
      <c r="M16" s="23" t="inlineStr">
        <is>
          <t>What are you seeing? Comment below</t>
        </is>
      </c>
      <c r="N16" s="23" t="inlineStr">
        <is>
          <t>Text only (LinkedIn favours it)</t>
        </is>
      </c>
      <c r="O16" s="27" t="inlineStr">
        <is>
          <t>https://vyntic.studio/services/seo-services/</t>
        </is>
      </c>
      <c r="P16" s="28" t="inlineStr">
        <is>
          <t>To do</t>
        </is>
      </c>
      <c r="Q16" s="28" t="n"/>
    </row>
    <row r="17">
      <c r="A17" s="23" t="n">
        <v>12</v>
      </c>
      <c r="B17" s="24" t="n">
        <v>46318</v>
      </c>
      <c r="C17" s="23" t="inlineStr">
        <is>
          <t>Friday</t>
        </is>
      </c>
      <c r="D17" s="23" t="inlineStr">
        <is>
          <t>Week 2: AI search</t>
        </is>
      </c>
      <c r="E17" s="29" t="inlineStr">
        <is>
          <t>News</t>
        </is>
      </c>
      <c r="F17" s="26" t="inlineStr">
        <is>
          <t>WordPress and AI agents: the new MCP Adapter in plain English</t>
        </is>
      </c>
      <c r="G17" s="23" t="inlineStr">
        <is>
          <t>Single image + text</t>
        </is>
      </c>
      <c r="H17" s="23" t="inlineStr">
        <is>
          <t>LinkedIn, X, Facebook</t>
        </is>
      </c>
      <c r="I17" s="23" t="inlineStr">
        <is>
          <t>AI assistants can now work with WordPress sites in a standard way.</t>
        </is>
      </c>
      <c r="J17" s="23" t="inlineStr">
        <is>
          <t>What MCP is in one sentence, what the canonical WordPress MCP Adapter does, what it means for site owners (and what to be careful with).</t>
        </is>
      </c>
      <c r="K17" s="23" t="inlineStr">
        <is>
          <t>WordPress MCP, AI agents WordPress, WordPress AI</t>
        </is>
      </c>
      <c r="L17" s="23" t="inlineStr">
        <is>
          <t>#wordpress #ai #mcp #webdevelopment</t>
        </is>
      </c>
      <c r="M17" s="23" t="inlineStr">
        <is>
          <t>Follow for WordPress news without the jargon</t>
        </is>
      </c>
      <c r="N17" s="23" t="inlineStr">
        <is>
          <t>Simple diagram: AI app to MCP to WordPress</t>
        </is>
      </c>
      <c r="O17" s="27" t="inlineStr">
        <is>
          <t>https://www.searchenginejournal.com/category/cms/wp/</t>
        </is>
      </c>
      <c r="P17" s="28" t="inlineStr">
        <is>
          <t>To do</t>
        </is>
      </c>
      <c r="Q17" s="28" t="n"/>
    </row>
    <row r="18">
      <c r="A18" s="32" t="n">
        <v>13</v>
      </c>
      <c r="B18" s="33" t="n">
        <v>46319</v>
      </c>
      <c r="C18" s="32" t="inlineStr">
        <is>
          <t>Saturday</t>
        </is>
      </c>
      <c r="D18" s="23" t="inlineStr">
        <is>
          <t>Week 2: AI search</t>
        </is>
      </c>
      <c r="E18" s="31" t="inlineStr">
        <is>
          <t>Proof</t>
        </is>
      </c>
      <c r="F18" s="26" t="inlineStr">
        <is>
          <t>Client review spotlight</t>
        </is>
      </c>
      <c r="G18" s="23" t="inlineStr">
        <is>
          <t>Quote graphic</t>
        </is>
      </c>
      <c r="H18" s="23" t="inlineStr">
        <is>
          <t>Instagram, Facebook, Google Business Profile, LinkedIn</t>
        </is>
      </c>
      <c r="I18" s="23" t="inlineStr">
        <is>
          <t>'They made our site twice as fast and leads doubled.'</t>
        </is>
      </c>
      <c r="J18" s="23" t="inlineStr">
        <is>
          <t>Use a real Google review, with the client's permission. Add the project result in one line.</t>
        </is>
      </c>
      <c r="K18" s="23" t="inlineStr">
        <is>
          <t>web design reviews, WordPress agency</t>
        </is>
      </c>
      <c r="L18" s="23" t="inlineStr">
        <is>
          <t>#clientlove #testimonial #webdesign</t>
        </is>
      </c>
      <c r="M18" s="23" t="inlineStr">
        <is>
          <t>Read more reviews on Google</t>
        </is>
      </c>
      <c r="N18" s="23" t="inlineStr">
        <is>
          <t>Review quote card in brand colours</t>
        </is>
      </c>
      <c r="O18" s="27" t="inlineStr">
        <is>
          <t>https://vyntic.studio</t>
        </is>
      </c>
      <c r="P18" s="28" t="inlineStr">
        <is>
          <t>To do</t>
        </is>
      </c>
      <c r="Q18" s="28" t="n"/>
    </row>
    <row r="19">
      <c r="A19" s="32" t="n">
        <v>14</v>
      </c>
      <c r="B19" s="33" t="n">
        <v>46320</v>
      </c>
      <c r="C19" s="32" t="inlineStr">
        <is>
          <t>Sunday</t>
        </is>
      </c>
      <c r="D19" s="23" t="inlineStr">
        <is>
          <t>Week 2: AI search</t>
        </is>
      </c>
      <c r="E19" s="34" t="inlineStr">
        <is>
          <t>Engage</t>
        </is>
      </c>
      <c r="F19" s="26" t="inlineStr">
        <is>
          <t>Ask me anything: AI search and SEO</t>
        </is>
      </c>
      <c r="G19" s="23" t="inlineStr">
        <is>
          <t>Q&amp;A stickers / thread</t>
        </is>
      </c>
      <c r="H19" s="23" t="inlineStr">
        <is>
          <t>Instagram Stories, X, LinkedIn comments</t>
        </is>
      </c>
      <c r="I19" s="23" t="inlineStr">
        <is>
          <t>Ask me anything about AI search this weekend.</t>
        </is>
      </c>
      <c r="J19" s="23" t="inlineStr">
        <is>
          <t>Answer 5 to 8 questions with short replies. Turn the best ones into posts next week.</t>
        </is>
      </c>
      <c r="K19" s="23" t="inlineStr">
        <is>
          <t>AI search, SEO questions</t>
        </is>
      </c>
      <c r="L19" s="23" t="inlineStr">
        <is>
          <t>#seo #aisearch #askmeanything</t>
        </is>
      </c>
      <c r="M19" s="23" t="inlineStr">
        <is>
          <t>Send your question</t>
        </is>
      </c>
      <c r="N19" s="23" t="inlineStr">
        <is>
          <t>Question sticker</t>
        </is>
      </c>
      <c r="O19" s="23" t="inlineStr"/>
      <c r="P19" s="28" t="inlineStr">
        <is>
          <t>To do</t>
        </is>
      </c>
      <c r="Q19" s="28" t="n"/>
    </row>
    <row r="20">
      <c r="A20" s="23" t="n">
        <v>15</v>
      </c>
      <c r="B20" s="24" t="n">
        <v>46321</v>
      </c>
      <c r="C20" s="23" t="inlineStr">
        <is>
          <t>Monday</t>
        </is>
      </c>
      <c r="D20" s="23" t="inlineStr">
        <is>
          <t>Week 3: Spam update, local and Halloween</t>
        </is>
      </c>
      <c r="E20" s="29" t="inlineStr">
        <is>
          <t>News</t>
        </is>
      </c>
      <c r="F20" s="26" t="inlineStr">
        <is>
          <t>The September spam update just finished: 5 things that get sites hit</t>
        </is>
      </c>
      <c r="G20" s="23" t="inlineStr">
        <is>
          <t>Carousel (6 slides)</t>
        </is>
      </c>
      <c r="H20" s="23" t="inlineStr">
        <is>
          <t>Instagram, LinkedIn (PDF), Facebook</t>
        </is>
      </c>
      <c r="I20" s="23" t="inlineStr">
        <is>
          <t>Google's latest spam update finished on October 8. Is your site safe?</t>
        </is>
      </c>
      <c r="J20" s="23" t="inlineStr">
        <is>
          <t>Scaled AI content with no value, expired domain abuse, hidden links, doorway pages, cloaking. What to do if traffic dropped.</t>
        </is>
      </c>
      <c r="K20" s="23" t="inlineStr">
        <is>
          <t>Google spam update, spam policies, traffic drop</t>
        </is>
      </c>
      <c r="L20" s="23" t="inlineStr">
        <is>
          <t>#seo #googleupdate #googleseo #digitalmarketing</t>
        </is>
      </c>
      <c r="M20" s="23" t="inlineStr">
        <is>
          <t>Traffic dropped? DM us AUDIT</t>
        </is>
      </c>
      <c r="N20" s="23" t="inlineStr">
        <is>
          <t>6 slide carousel</t>
        </is>
      </c>
      <c r="O20" s="27" t="inlineStr">
        <is>
          <t>https://seroundtable.com/google-september-2026-spam-update-done-42235.html</t>
        </is>
      </c>
      <c r="P20" s="28" t="inlineStr">
        <is>
          <t>To do</t>
        </is>
      </c>
      <c r="Q20" s="28" t="n"/>
    </row>
    <row r="21">
      <c r="A21" s="23" t="n">
        <v>16</v>
      </c>
      <c r="B21" s="24" t="n">
        <v>46322</v>
      </c>
      <c r="C21" s="23" t="inlineStr">
        <is>
          <t>Tuesday</t>
        </is>
      </c>
      <c r="D21" s="23" t="inlineStr">
        <is>
          <t>Week 3: Spam update, local and Halloween</t>
        </is>
      </c>
      <c r="E21" s="30" t="inlineStr">
        <is>
          <t>Educate</t>
        </is>
      </c>
      <c r="F21" s="26" t="inlineStr">
        <is>
          <t>7 Google Business Profile fixes in 10 minutes</t>
        </is>
      </c>
      <c r="G21" s="23" t="inlineStr">
        <is>
          <t>Carousel (8 slides)</t>
        </is>
      </c>
      <c r="H21" s="23" t="inlineStr">
        <is>
          <t>Instagram, Facebook, LinkedIn, Google Business Profile</t>
        </is>
      </c>
      <c r="I21" s="23" t="inlineStr">
        <is>
          <t>Your Google Business Profile is your new homepage.</t>
        </is>
      </c>
      <c r="J21" s="23" t="inlineStr">
        <is>
          <t>Primary category, services, photos every week, Q and A, posts, review replies, correct hours.</t>
        </is>
      </c>
      <c r="K21" s="23" t="inlineStr">
        <is>
          <t>Google Business Profile optimization, local SEO, Google Maps ranking</t>
        </is>
      </c>
      <c r="L21" s="23" t="inlineStr">
        <is>
          <t>#localseo #googlebusinessprofile #smallbusiness #googlemaps</t>
        </is>
      </c>
      <c r="M21" s="23" t="inlineStr">
        <is>
          <t>Save this checklist</t>
        </is>
      </c>
      <c r="N21" s="23" t="inlineStr">
        <is>
          <t>8 slide carousel</t>
        </is>
      </c>
      <c r="O21" s="27" t="inlineStr">
        <is>
          <t>https://vyntic.studio/google-business-profile-guide/</t>
        </is>
      </c>
      <c r="P21" s="28" t="inlineStr">
        <is>
          <t>To do</t>
        </is>
      </c>
      <c r="Q21" s="28" t="n"/>
    </row>
    <row r="22">
      <c r="A22" s="23" t="n">
        <v>17</v>
      </c>
      <c r="B22" s="24" t="n">
        <v>46323</v>
      </c>
      <c r="C22" s="23" t="inlineStr">
        <is>
          <t>Wednesday</t>
        </is>
      </c>
      <c r="D22" s="23" t="inlineStr">
        <is>
          <t>Week 3: Spam update, local and Halloween</t>
        </is>
      </c>
      <c r="E22" s="34" t="inlineStr">
        <is>
          <t>Engage</t>
        </is>
      </c>
      <c r="F22" s="26" t="inlineStr">
        <is>
          <t>Website horror story #1: the 12 second homepage</t>
        </is>
      </c>
      <c r="G22" s="23" t="inlineStr">
        <is>
          <t>Reel (Halloween)</t>
        </is>
      </c>
      <c r="H22" s="23" t="inlineStr">
        <is>
          <t>Instagram Reels, TikTok, YouTube Shorts, Facebook</t>
        </is>
      </c>
      <c r="I22" s="23" t="inlineStr">
        <is>
          <t>This homepage took 12 seconds to load. Here is what we found.</t>
        </is>
      </c>
      <c r="J22" s="23" t="inlineStr">
        <is>
          <t>Spooky music, reveal: 8 MB slider, 47 plugins, no cache. End with the after score.</t>
        </is>
      </c>
      <c r="K22" s="23" t="inlineStr">
        <is>
          <t>website horror stories, slow website</t>
        </is>
      </c>
      <c r="L22" s="23" t="inlineStr">
        <is>
          <t>#halloween #websitefails #webdesign #wordpress</t>
        </is>
      </c>
      <c r="M22" s="23" t="inlineStr">
        <is>
          <t>Tag someone whose site is this slow</t>
        </is>
      </c>
      <c r="N22" s="23" t="inlineStr">
        <is>
          <t>Screen recording + spooky text</t>
        </is>
      </c>
      <c r="O22" s="23" t="inlineStr"/>
      <c r="P22" s="28" t="inlineStr">
        <is>
          <t>To do</t>
        </is>
      </c>
      <c r="Q22" s="28" t="n"/>
    </row>
    <row r="23">
      <c r="A23" s="23" t="n">
        <v>18</v>
      </c>
      <c r="B23" s="24" t="n">
        <v>46324</v>
      </c>
      <c r="C23" s="23" t="inlineStr">
        <is>
          <t>Thursday</t>
        </is>
      </c>
      <c r="D23" s="23" t="inlineStr">
        <is>
          <t>Week 3: Spam update, local and Halloween</t>
        </is>
      </c>
      <c r="E23" s="32" t="inlineStr">
        <is>
          <t>Behind the scenes</t>
        </is>
      </c>
      <c r="F23" s="26" t="inlineStr">
        <is>
          <t>The scariest plugin list we have ever seen</t>
        </is>
      </c>
      <c r="G23" s="23" t="inlineStr">
        <is>
          <t>Meme / single image</t>
        </is>
      </c>
      <c r="H23" s="23" t="inlineStr">
        <is>
          <t>Instagram, Facebook, X, LinkedIn</t>
        </is>
      </c>
      <c r="I23" s="23" t="inlineStr">
        <is>
          <t>47 plugins. 3 page builders. 0 backups.</t>
        </is>
      </c>
      <c r="J23" s="23" t="inlineStr">
        <is>
          <t>Light humour, then 3 tips: remove unused plugins, one builder, daily backups.</t>
        </is>
      </c>
      <c r="K23" s="23" t="inlineStr">
        <is>
          <t>WordPress plugins, website maintenance</t>
        </is>
      </c>
      <c r="L23" s="23" t="inlineStr">
        <is>
          <t>#halloween #wordpress #webdevhumor</t>
        </is>
      </c>
      <c r="M23" s="23" t="inlineStr">
        <is>
          <t>Comment your plugin count</t>
        </is>
      </c>
      <c r="N23" s="23" t="inlineStr">
        <is>
          <t>Meme image in brand style</t>
        </is>
      </c>
      <c r="O23" s="23" t="inlineStr"/>
      <c r="P23" s="28" t="inlineStr">
        <is>
          <t>To do</t>
        </is>
      </c>
      <c r="Q23" s="28" t="n"/>
    </row>
    <row r="24">
      <c r="A24" s="23" t="n">
        <v>19</v>
      </c>
      <c r="B24" s="24" t="n">
        <v>46325</v>
      </c>
      <c r="C24" s="23" t="inlineStr">
        <is>
          <t>Friday</t>
        </is>
      </c>
      <c r="D24" s="23" t="inlineStr">
        <is>
          <t>Week 3: Spam update, local and Halloween</t>
        </is>
      </c>
      <c r="E24" s="30" t="inlineStr">
        <is>
          <t>Educate</t>
        </is>
      </c>
      <c r="F24" s="26" t="inlineStr">
        <is>
          <t>Clocks change Nov 1: update your Google hours and holiday hours</t>
        </is>
      </c>
      <c r="G24" s="23" t="inlineStr">
        <is>
          <t>Single image + GBP post</t>
        </is>
      </c>
      <c r="H24" s="23" t="inlineStr">
        <is>
          <t>Google Business Profile, Facebook, Instagram Stories</t>
        </is>
      </c>
      <c r="I24" s="23" t="inlineStr">
        <is>
          <t>Wrong hours on Google = lost customers.</t>
        </is>
      </c>
      <c r="J24" s="23" t="inlineStr">
        <is>
          <t>US daylight saving time ends Sunday November 1. Add holiday hours for Thanksgiving, Black Friday and Christmas now.</t>
        </is>
      </c>
      <c r="K24" s="23" t="inlineStr">
        <is>
          <t>Google Business Profile holiday hours, local SEO</t>
        </is>
      </c>
      <c r="L24" s="23" t="inlineStr">
        <is>
          <t>#localseo #smallbusiness #googlebusinessprofile</t>
        </is>
      </c>
      <c r="M24" s="23" t="inlineStr">
        <is>
          <t>Need help? Message us</t>
        </is>
      </c>
      <c r="N24" s="23" t="inlineStr">
        <is>
          <t>Reminder graphic</t>
        </is>
      </c>
      <c r="O24" s="27" t="inlineStr">
        <is>
          <t>https://vyntic.studio/services/google-business-profile-optimization/</t>
        </is>
      </c>
      <c r="P24" s="28" t="inlineStr">
        <is>
          <t>To do</t>
        </is>
      </c>
      <c r="Q24" s="28" t="n"/>
    </row>
    <row r="25">
      <c r="A25" s="32" t="n">
        <v>20</v>
      </c>
      <c r="B25" s="33" t="n">
        <v>46326</v>
      </c>
      <c r="C25" s="32" t="inlineStr">
        <is>
          <t>Saturday</t>
        </is>
      </c>
      <c r="D25" s="23" t="inlineStr">
        <is>
          <t>Week 3: Spam update, local and Halloween</t>
        </is>
      </c>
      <c r="E25" s="35" t="inlineStr">
        <is>
          <t>Offer</t>
        </is>
      </c>
      <c r="F25" s="26" t="inlineStr">
        <is>
          <t>Trick or treat: free speed check for the first 10 comments</t>
        </is>
      </c>
      <c r="G25" s="23" t="inlineStr">
        <is>
          <t>Single image</t>
        </is>
      </c>
      <c r="H25" s="23" t="inlineStr">
        <is>
          <t>Instagram, Facebook, LinkedIn, X</t>
        </is>
      </c>
      <c r="I25" s="23" t="inlineStr">
        <is>
          <t>Trick or treat? We will check your site speed for free.</t>
        </is>
      </c>
      <c r="J25" s="23" t="inlineStr">
        <is>
          <t>First 10 people who comment their URL get a short PageSpeed review in a video reply.</t>
        </is>
      </c>
      <c r="K25" s="23" t="inlineStr">
        <is>
          <t>free website audit, PageSpeed</t>
        </is>
      </c>
      <c r="L25" s="23" t="inlineStr">
        <is>
          <t>#halloween #freeaudit #websitespeed #smallbusiness</t>
        </is>
      </c>
      <c r="M25" s="23" t="inlineStr">
        <is>
          <t>Comment your website URL</t>
        </is>
      </c>
      <c r="N25" s="23" t="inlineStr">
        <is>
          <t>Halloween graphic in brand colours</t>
        </is>
      </c>
      <c r="O25" s="27" t="inlineStr">
        <is>
          <t>https://vyntic.studio/contact/</t>
        </is>
      </c>
      <c r="P25" s="28" t="inlineStr">
        <is>
          <t>To do</t>
        </is>
      </c>
      <c r="Q25" s="28" t="n"/>
    </row>
    <row r="26">
      <c r="A26" s="32" t="n">
        <v>21</v>
      </c>
      <c r="B26" s="33" t="n">
        <v>46327</v>
      </c>
      <c r="C26" s="32" t="inlineStr">
        <is>
          <t>Sunday</t>
        </is>
      </c>
      <c r="D26" s="23" t="inlineStr">
        <is>
          <t>Week 3: Spam update, local and Halloween</t>
        </is>
      </c>
      <c r="E26" s="32" t="inlineStr">
        <is>
          <t>Behind the scenes</t>
        </is>
      </c>
      <c r="F26" s="26" t="inlineStr">
        <is>
          <t>October recap: what we shipped</t>
        </is>
      </c>
      <c r="G26" s="23" t="inlineStr">
        <is>
          <t>Text post + photos</t>
        </is>
      </c>
      <c r="H26" s="23" t="inlineStr">
        <is>
          <t>LinkedIn, Facebook, Instagram carousel</t>
        </is>
      </c>
      <c r="I26" s="23" t="inlineStr">
        <is>
          <t>October at Vyntic in 30 seconds.</t>
        </is>
      </c>
      <c r="J26" s="23" t="inlineStr">
        <is>
          <t>Speed Optimizer 1.4.0 with weekly PageSpeed reports, new plugins page, client launches, numbers.</t>
        </is>
      </c>
      <c r="K26" s="23" t="inlineStr">
        <is>
          <t>agency update</t>
        </is>
      </c>
      <c r="L26" s="23" t="inlineStr">
        <is>
          <t>#buildinpublic #agencylife #wordpress</t>
        </is>
      </c>
      <c r="M26" s="23" t="inlineStr">
        <is>
          <t>Follow along for November</t>
        </is>
      </c>
      <c r="N26" s="23" t="inlineStr">
        <is>
          <t>3 to 5 photos or screenshots</t>
        </is>
      </c>
      <c r="O26" s="27" t="inlineStr">
        <is>
          <t>https://vyntic.studio/plugins/</t>
        </is>
      </c>
      <c r="P26" s="28" t="inlineStr">
        <is>
          <t>To do</t>
        </is>
      </c>
      <c r="Q26" s="28" t="n"/>
    </row>
    <row r="27">
      <c r="A27" s="23" t="n">
        <v>22</v>
      </c>
      <c r="B27" s="24" t="n">
        <v>46328</v>
      </c>
      <c r="C27" s="23" t="inlineStr">
        <is>
          <t>Monday</t>
        </is>
      </c>
      <c r="D27" s="23" t="inlineStr">
        <is>
          <t>Week 4: Black Friday prep</t>
        </is>
      </c>
      <c r="E27" s="30" t="inlineStr">
        <is>
          <t>Educate</t>
        </is>
      </c>
      <c r="F27" s="26" t="inlineStr">
        <is>
          <t>Black Friday is November 27: website checklist (25 days out)</t>
        </is>
      </c>
      <c r="G27" s="23" t="inlineStr">
        <is>
          <t>Carousel (8 slides)</t>
        </is>
      </c>
      <c r="H27" s="23" t="inlineStr">
        <is>
          <t>Instagram, Facebook, LinkedIn (PDF), Pinterest</t>
        </is>
      </c>
      <c r="I27" s="23" t="inlineStr">
        <is>
          <t>Black Friday is 25 days away. Is your website ready?</t>
        </is>
      </c>
      <c r="J27" s="23" t="inlineStr">
        <is>
          <t>Speed test, mobile checkout, stock and prices, landing page, email capture, Google holiday hours, backup, load test.</t>
        </is>
      </c>
      <c r="K27" s="23" t="inlineStr">
        <is>
          <t>Black Friday 2026, BFCM, ecommerce website checklist</t>
        </is>
      </c>
      <c r="L27" s="23" t="inlineStr">
        <is>
          <t>#blackfriday #bfcm #ecommerce #smallbusiness #woocommerce</t>
        </is>
      </c>
      <c r="M27" s="23" t="inlineStr">
        <is>
          <t>Save this checklist</t>
        </is>
      </c>
      <c r="N27" s="23" t="inlineStr">
        <is>
          <t>8 slide carousel</t>
        </is>
      </c>
      <c r="O27" s="27" t="inlineStr">
        <is>
          <t>https://www.klaviyo.com/uk/bfcm/calendar</t>
        </is>
      </c>
      <c r="P27" s="28" t="inlineStr">
        <is>
          <t>To do</t>
        </is>
      </c>
      <c r="Q27" s="28" t="n"/>
    </row>
    <row r="28">
      <c r="A28" s="23" t="n">
        <v>23</v>
      </c>
      <c r="B28" s="24" t="n">
        <v>46329</v>
      </c>
      <c r="C28" s="23" t="inlineStr">
        <is>
          <t>Tuesday</t>
        </is>
      </c>
      <c r="D28" s="23" t="inlineStr">
        <is>
          <t>Week 4: Black Friday prep</t>
        </is>
      </c>
      <c r="E28" s="30" t="inlineStr">
        <is>
          <t>Educate</t>
        </is>
      </c>
      <c r="F28" s="26" t="inlineStr">
        <is>
          <t>Your checkout is losing sales: 3 speed fixes before Black Friday</t>
        </is>
      </c>
      <c r="G28" s="23" t="inlineStr">
        <is>
          <t>Reel</t>
        </is>
      </c>
      <c r="H28" s="23" t="inlineStr">
        <is>
          <t>Instagram Reels, TikTok, YouTube Shorts, LinkedIn</t>
        </is>
      </c>
      <c r="I28" s="23" t="inlineStr">
        <is>
          <t>Every extra second at checkout costs you sales.</t>
        </is>
      </c>
      <c r="J28" s="23" t="inlineStr">
        <is>
          <t>Fewer checkout fields, no heavy scripts on checkout, page cache everywhere except cart and checkout.</t>
        </is>
      </c>
      <c r="K28" s="23" t="inlineStr">
        <is>
          <t>WooCommerce speed, checkout optimization</t>
        </is>
      </c>
      <c r="L28" s="23" t="inlineStr">
        <is>
          <t>#woocommerce #ecommerce #blackfriday #websitespeed</t>
        </is>
      </c>
      <c r="M28" s="23" t="inlineStr">
        <is>
          <t>Comment CHECKOUT for our list</t>
        </is>
      </c>
      <c r="N28" s="23" t="inlineStr">
        <is>
          <t>Screen recording</t>
        </is>
      </c>
      <c r="O28" s="27" t="inlineStr">
        <is>
          <t>https://vyntic.studio/services/ecommerce-development/</t>
        </is>
      </c>
      <c r="P28" s="28" t="inlineStr">
        <is>
          <t>To do</t>
        </is>
      </c>
      <c r="Q28" s="28" t="n"/>
    </row>
    <row r="29">
      <c r="A29" s="23" t="n">
        <v>24</v>
      </c>
      <c r="B29" s="24" t="n">
        <v>46330</v>
      </c>
      <c r="C29" s="23" t="inlineStr">
        <is>
          <t>Wednesday</t>
        </is>
      </c>
      <c r="D29" s="23" t="inlineStr">
        <is>
          <t>Week 4: Black Friday prep</t>
        </is>
      </c>
      <c r="E29" s="30" t="inlineStr">
        <is>
          <t>Educate</t>
        </is>
      </c>
      <c r="F29" s="26" t="inlineStr">
        <is>
          <t>Shoppers now ask AI what to buy: get your products in the answer</t>
        </is>
      </c>
      <c r="G29" s="23" t="inlineStr">
        <is>
          <t>Carousel (6 slides)</t>
        </is>
      </c>
      <c r="H29" s="23" t="inlineStr">
        <is>
          <t>Instagram, LinkedIn (PDF), Facebook</t>
        </is>
      </c>
      <c r="I29" s="23" t="inlineStr">
        <is>
          <t>More shoppers skip Google and ask ChatGPT or AI Mode what to buy.</t>
        </is>
      </c>
      <c r="J29" s="23" t="inlineStr">
        <is>
          <t>Product schema, clear product descriptions, reviews on and off site, comparison and FAQ content, fast pages.</t>
        </is>
      </c>
      <c r="K29" s="23" t="inlineStr">
        <is>
          <t>AI shopping, AI Mode shopping, product schema</t>
        </is>
      </c>
      <c r="L29" s="23" t="inlineStr">
        <is>
          <t>#ecommerce #aisearch #blackfriday #seo</t>
        </is>
      </c>
      <c r="M29" s="23" t="inlineStr">
        <is>
          <t>Save for your Black Friday prep</t>
        </is>
      </c>
      <c r="N29" s="23" t="inlineStr">
        <is>
          <t>6 slide carousel</t>
        </is>
      </c>
      <c r="O29" s="27" t="inlineStr">
        <is>
          <t>https://www.yotpo.com/blog/black-friday-marketing-strategy.md</t>
        </is>
      </c>
      <c r="P29" s="28" t="inlineStr">
        <is>
          <t>To do</t>
        </is>
      </c>
      <c r="Q29" s="28" t="n"/>
    </row>
    <row r="30">
      <c r="A30" s="23" t="n">
        <v>25</v>
      </c>
      <c r="B30" s="24" t="n">
        <v>46331</v>
      </c>
      <c r="C30" s="23" t="inlineStr">
        <is>
          <t>Thursday</t>
        </is>
      </c>
      <c r="D30" s="23" t="inlineStr">
        <is>
          <t>Week 4: Black Friday prep</t>
        </is>
      </c>
      <c r="E30" s="31" t="inlineStr">
        <is>
          <t>Proof</t>
        </is>
      </c>
      <c r="F30" s="26" t="inlineStr">
        <is>
          <t>Case study: ecommerce redesign results</t>
        </is>
      </c>
      <c r="G30" s="23" t="inlineStr">
        <is>
          <t>Carousel (5 slides)</t>
        </is>
      </c>
      <c r="H30" s="23" t="inlineStr">
        <is>
          <t>Instagram, LinkedIn, Facebook</t>
        </is>
      </c>
      <c r="I30" s="23" t="inlineStr">
        <is>
          <t>How a redesign changed one store's results.</t>
        </is>
      </c>
      <c r="J30" s="23" t="inlineStr">
        <is>
          <t>Use a real client: problem, what we did, numbers (speed, conversion rate, revenue), quote.</t>
        </is>
      </c>
      <c r="K30" s="23" t="inlineStr">
        <is>
          <t>ecommerce website design, conversion rate</t>
        </is>
      </c>
      <c r="L30" s="23" t="inlineStr">
        <is>
          <t>#casestudy #ecommerce #webdesign</t>
        </is>
      </c>
      <c r="M30" s="23" t="inlineStr">
        <is>
          <t>Want results like this? Book a call</t>
        </is>
      </c>
      <c r="N30" s="23" t="inlineStr">
        <is>
          <t>5 slide case study</t>
        </is>
      </c>
      <c r="O30" s="27" t="inlineStr">
        <is>
          <t>https://vyntic.studio/services/ecommerce-development/</t>
        </is>
      </c>
      <c r="P30" s="28" t="inlineStr">
        <is>
          <t>To do</t>
        </is>
      </c>
      <c r="Q30" s="28" t="n"/>
    </row>
    <row r="31">
      <c r="A31" s="23" t="n">
        <v>26</v>
      </c>
      <c r="B31" s="24" t="n">
        <v>46332</v>
      </c>
      <c r="C31" s="23" t="inlineStr">
        <is>
          <t>Friday</t>
        </is>
      </c>
      <c r="D31" s="23" t="inlineStr">
        <is>
          <t>Week 4: Black Friday prep</t>
        </is>
      </c>
      <c r="E31" s="35" t="inlineStr">
        <is>
          <t>Offer</t>
        </is>
      </c>
      <c r="F31" s="26" t="inlineStr">
        <is>
          <t>Black Friday landing page in 7 days</t>
        </is>
      </c>
      <c r="G31" s="23" t="inlineStr">
        <is>
          <t>Single image + text</t>
        </is>
      </c>
      <c r="H31" s="23" t="inlineStr">
        <is>
          <t>LinkedIn, Facebook, Instagram, Google Business Profile</t>
        </is>
      </c>
      <c r="I31" s="23" t="inlineStr">
        <is>
          <t>Need a Black Friday landing page? We build it in 7 days.</t>
        </is>
      </c>
      <c r="J31" s="23" t="inlineStr">
        <is>
          <t>What is included, deadline to book (Nov 13), one example.</t>
        </is>
      </c>
      <c r="K31" s="23" t="inlineStr">
        <is>
          <t>Black Friday landing page, landing page design</t>
        </is>
      </c>
      <c r="L31" s="23" t="inlineStr">
        <is>
          <t>#blackfriday #landingpage #webdesign #smallbusiness</t>
        </is>
      </c>
      <c r="M31" s="23" t="inlineStr">
        <is>
          <t>Book before November 13</t>
        </is>
      </c>
      <c r="N31" s="23" t="inlineStr">
        <is>
          <t>Offer graphic</t>
        </is>
      </c>
      <c r="O31" s="27" t="inlineStr">
        <is>
          <t>https://vyntic.studio/services/landing-page-design/</t>
        </is>
      </c>
      <c r="P31" s="28" t="inlineStr">
        <is>
          <t>To do</t>
        </is>
      </c>
      <c r="Q31" s="28" t="n"/>
    </row>
    <row r="32">
      <c r="A32" s="32" t="n">
        <v>27</v>
      </c>
      <c r="B32" s="33" t="n">
        <v>46333</v>
      </c>
      <c r="C32" s="32" t="inlineStr">
        <is>
          <t>Saturday</t>
        </is>
      </c>
      <c r="D32" s="23" t="inlineStr">
        <is>
          <t>Week 4: Black Friday prep</t>
        </is>
      </c>
      <c r="E32" s="30" t="inlineStr">
        <is>
          <t>Educate</t>
        </is>
      </c>
      <c r="F32" s="26" t="inlineStr">
        <is>
          <t>Small Business Saturday is November 28: get found locally</t>
        </is>
      </c>
      <c r="G32" s="23" t="inlineStr">
        <is>
          <t>Single image + GBP post</t>
        </is>
      </c>
      <c r="H32" s="23" t="inlineStr">
        <is>
          <t>Google Business Profile, Facebook, Instagram</t>
        </is>
      </c>
      <c r="I32" s="23" t="inlineStr">
        <is>
          <t>Small Business Saturday is in 3 weeks. Will locals find you?</t>
        </is>
      </c>
      <c r="J32" s="23" t="inlineStr">
        <is>
          <t>Post your offer on Google Business Profile, update photos, ask 5 customers for reviews, add holiday hours.</t>
        </is>
      </c>
      <c r="K32" s="23" t="inlineStr">
        <is>
          <t>Small Business Saturday 2026, local SEO</t>
        </is>
      </c>
      <c r="L32" s="23" t="inlineStr">
        <is>
          <t>#smallbusinesssaturday #shoplocal #localseo #smallbusiness</t>
        </is>
      </c>
      <c r="M32" s="23" t="inlineStr">
        <is>
          <t>Share with a local business owner</t>
        </is>
      </c>
      <c r="N32" s="23" t="inlineStr">
        <is>
          <t>Reminder graphic</t>
        </is>
      </c>
      <c r="O32" s="27" t="inlineStr">
        <is>
          <t>https://vyntic.studio/services/local-seo/</t>
        </is>
      </c>
      <c r="P32" s="28" t="inlineStr">
        <is>
          <t>To do</t>
        </is>
      </c>
      <c r="Q32" s="28" t="n"/>
    </row>
    <row r="33">
      <c r="A33" s="32" t="n">
        <v>28</v>
      </c>
      <c r="B33" s="33" t="n">
        <v>46334</v>
      </c>
      <c r="C33" s="32" t="inlineStr">
        <is>
          <t>Sunday</t>
        </is>
      </c>
      <c r="D33" s="23" t="inlineStr">
        <is>
          <t>Week 4: Black Friday prep</t>
        </is>
      </c>
      <c r="E33" s="34" t="inlineStr">
        <is>
          <t>Engage</t>
        </is>
      </c>
      <c r="F33" s="26" t="inlineStr">
        <is>
          <t>Poll: are you running a Black Friday offer this year?</t>
        </is>
      </c>
      <c r="G33" s="23" t="inlineStr">
        <is>
          <t>Poll</t>
        </is>
      </c>
      <c r="H33" s="23" t="inlineStr">
        <is>
          <t>Instagram Stories, LinkedIn, X</t>
        </is>
      </c>
      <c r="I33" s="23" t="inlineStr">
        <is>
          <t>Quick one: Black Friday offer this year?</t>
        </is>
      </c>
      <c r="J33" s="23" t="inlineStr">
        <is>
          <t>Options: yes big sale, small discount, no, not sure. Share results with tips.</t>
        </is>
      </c>
      <c r="K33" s="23" t="inlineStr">
        <is>
          <t>Black Friday 2026</t>
        </is>
      </c>
      <c r="L33" s="23" t="inlineStr">
        <is>
          <t>#blackfriday #smallbusiness</t>
        </is>
      </c>
      <c r="M33" s="23" t="inlineStr">
        <is>
          <t>Vote</t>
        </is>
      </c>
      <c r="N33" s="23" t="inlineStr">
        <is>
          <t>Poll sticker</t>
        </is>
      </c>
      <c r="O33" s="23" t="inlineStr"/>
      <c r="P33" s="28" t="inlineStr">
        <is>
          <t>To do</t>
        </is>
      </c>
      <c r="Q33" s="28" t="n"/>
    </row>
    <row r="34">
      <c r="A34" s="23" t="n">
        <v>29</v>
      </c>
      <c r="B34" s="24" t="n">
        <v>46335</v>
      </c>
      <c r="C34" s="23" t="inlineStr">
        <is>
          <t>Monday</t>
        </is>
      </c>
      <c r="D34" s="23" t="inlineStr">
        <is>
          <t>Wrap up and countdown</t>
        </is>
      </c>
      <c r="E34" s="30" t="inlineStr">
        <is>
          <t>Educate</t>
        </is>
      </c>
      <c r="F34" s="26" t="inlineStr">
        <is>
          <t>How much does a website cost in 2026? Real numbers</t>
        </is>
      </c>
      <c r="G34" s="23" t="inlineStr">
        <is>
          <t>Carousel (7 slides)</t>
        </is>
      </c>
      <c r="H34" s="23" t="inlineStr">
        <is>
          <t>Instagram, LinkedIn (PDF), Facebook, Pinterest</t>
        </is>
      </c>
      <c r="I34" s="23" t="inlineStr">
        <is>
          <t>Website prices from 500 to 50,000 dollars. Here is why.</t>
        </is>
      </c>
      <c r="J34" s="23" t="inlineStr">
        <is>
          <t>Price ranges by type, what drives cost, hidden costs, how to choose.</t>
        </is>
      </c>
      <c r="K34" s="23" t="inlineStr">
        <is>
          <t>website cost 2026, how much does a website cost</t>
        </is>
      </c>
      <c r="L34" s="23" t="inlineStr">
        <is>
          <t>#webdesign #smallbusiness #websitecost #wordpress</t>
        </is>
      </c>
      <c r="M34" s="23" t="inlineStr">
        <is>
          <t>Try our free cost calculator</t>
        </is>
      </c>
      <c r="N34" s="23" t="inlineStr">
        <is>
          <t>7 slide carousel</t>
        </is>
      </c>
      <c r="O34" s="27" t="inlineStr">
        <is>
          <t>https://vyntic.studio/website-cost/</t>
        </is>
      </c>
      <c r="P34" s="28" t="inlineStr">
        <is>
          <t>To do</t>
        </is>
      </c>
      <c r="Q34" s="28" t="n"/>
    </row>
    <row r="35">
      <c r="A35" s="23" t="n">
        <v>30</v>
      </c>
      <c r="B35" s="24" t="n">
        <v>46336</v>
      </c>
      <c r="C35" s="23" t="inlineStr">
        <is>
          <t>Tuesday</t>
        </is>
      </c>
      <c r="D35" s="23" t="inlineStr">
        <is>
          <t>Wrap up and countdown</t>
        </is>
      </c>
      <c r="E35" s="35" t="inlineStr">
        <is>
          <t>Offer</t>
        </is>
      </c>
      <c r="F35" s="26" t="inlineStr">
        <is>
          <t>Early Black Friday offer + best of the month</t>
        </is>
      </c>
      <c r="G35" s="23" t="inlineStr">
        <is>
          <t>Reel or carousel</t>
        </is>
      </c>
      <c r="H35" s="23" t="inlineStr">
        <is>
          <t>All platforms</t>
        </is>
      </c>
      <c r="I35" s="23" t="inlineStr">
        <is>
          <t>Our Black Friday offer for small businesses starts now.</t>
        </is>
      </c>
      <c r="J35" s="23" t="inlineStr">
        <is>
          <t>Announce your real offer (fill in). Link the 3 best posts of the month.</t>
        </is>
      </c>
      <c r="K35" s="23" t="inlineStr">
        <is>
          <t>Black Friday web design deal</t>
        </is>
      </c>
      <c r="L35" s="23" t="inlineStr">
        <is>
          <t>#blackfriday #webdesign #smallbusiness #vynticstudio</t>
        </is>
      </c>
      <c r="M35" s="23" t="inlineStr">
        <is>
          <t>Book a call before spots are gone</t>
        </is>
      </c>
      <c r="N35" s="23" t="inlineStr">
        <is>
          <t>Offer graphic + reel</t>
        </is>
      </c>
      <c r="O35" s="27" t="inlineStr">
        <is>
          <t>https://vyntic.studio/contact/</t>
        </is>
      </c>
      <c r="P35" s="28" t="inlineStr">
        <is>
          <t>To do</t>
        </is>
      </c>
      <c r="Q35" s="28" t="n"/>
    </row>
  </sheetData>
  <autoFilter ref="A5:Q35"/>
  <conditionalFormatting sqref="P6:P35">
    <cfRule type="expression" priority="1" dxfId="0">
      <formula>P6="Published"</formula>
    </cfRule>
    <cfRule type="expression" priority="2" dxfId="1">
      <formula>P6="Scheduled"</formula>
    </cfRule>
  </conditionalFormatting>
  <dataValidations count="1">
    <dataValidation sqref="P6:P35" showDropDown="0" showInputMessage="0" showErrorMessage="0" allowBlank="1" type="list">
      <formula1>"To do,In progress,Scheduled,Published,Skipped"</formula1>
    </dataValidation>
  </dataValidations>
  <hyperlinks>
    <hyperlink xmlns:r="http://schemas.openxmlformats.org/officeDocument/2006/relationships" ref="O6" r:id="rId1"/>
    <hyperlink xmlns:r="http://schemas.openxmlformats.org/officeDocument/2006/relationships" ref="O7" r:id="rId2"/>
    <hyperlink xmlns:r="http://schemas.openxmlformats.org/officeDocument/2006/relationships" ref="O8" r:id="rId3"/>
    <hyperlink xmlns:r="http://schemas.openxmlformats.org/officeDocument/2006/relationships" ref="O9" r:id="rId4"/>
    <hyperlink xmlns:r="http://schemas.openxmlformats.org/officeDocument/2006/relationships" ref="O10" r:id="rId5"/>
    <hyperlink xmlns:r="http://schemas.openxmlformats.org/officeDocument/2006/relationships" ref="O11" r:id="rId6"/>
    <hyperlink xmlns:r="http://schemas.openxmlformats.org/officeDocument/2006/relationships" ref="O13" r:id="rId7"/>
    <hyperlink xmlns:r="http://schemas.openxmlformats.org/officeDocument/2006/relationships" ref="O14" r:id="rId8"/>
    <hyperlink xmlns:r="http://schemas.openxmlformats.org/officeDocument/2006/relationships" ref="O15" r:id="rId9"/>
    <hyperlink xmlns:r="http://schemas.openxmlformats.org/officeDocument/2006/relationships" ref="O16" r:id="rId10"/>
    <hyperlink xmlns:r="http://schemas.openxmlformats.org/officeDocument/2006/relationships" ref="O17" r:id="rId11"/>
    <hyperlink xmlns:r="http://schemas.openxmlformats.org/officeDocument/2006/relationships" ref="O18" r:id="rId12"/>
    <hyperlink xmlns:r="http://schemas.openxmlformats.org/officeDocument/2006/relationships" ref="O20" r:id="rId13"/>
    <hyperlink xmlns:r="http://schemas.openxmlformats.org/officeDocument/2006/relationships" ref="O21" r:id="rId14"/>
    <hyperlink xmlns:r="http://schemas.openxmlformats.org/officeDocument/2006/relationships" ref="O24" r:id="rId15"/>
    <hyperlink xmlns:r="http://schemas.openxmlformats.org/officeDocument/2006/relationships" ref="O25" r:id="rId16"/>
    <hyperlink xmlns:r="http://schemas.openxmlformats.org/officeDocument/2006/relationships" ref="O26" r:id="rId17"/>
    <hyperlink xmlns:r="http://schemas.openxmlformats.org/officeDocument/2006/relationships" ref="O27" r:id="rId18"/>
    <hyperlink xmlns:r="http://schemas.openxmlformats.org/officeDocument/2006/relationships" ref="O28" r:id="rId19"/>
    <hyperlink xmlns:r="http://schemas.openxmlformats.org/officeDocument/2006/relationships" ref="O29" r:id="rId20"/>
    <hyperlink xmlns:r="http://schemas.openxmlformats.org/officeDocument/2006/relationships" ref="O30" r:id="rId21"/>
    <hyperlink xmlns:r="http://schemas.openxmlformats.org/officeDocument/2006/relationships" ref="O31" r:id="rId22"/>
    <hyperlink xmlns:r="http://schemas.openxmlformats.org/officeDocument/2006/relationships" ref="O32" r:id="rId23"/>
    <hyperlink xmlns:r="http://schemas.openxmlformats.org/officeDocument/2006/relationships" ref="O34" r:id="rId24"/>
    <hyperlink xmlns:r="http://schemas.openxmlformats.org/officeDocument/2006/relationships" ref="O35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70" customWidth="1" min="3" max="3"/>
    <col width="14" customWidth="1" min="4" max="4"/>
    <col width="60" customWidth="1" min="5" max="5"/>
  </cols>
  <sheetData>
    <row r="1">
      <c r="A1" s="18" t="inlineStr">
        <is>
          <t>Trending keywords and topics (checked 10 October 2026)</t>
        </is>
      </c>
    </row>
    <row r="2">
      <c r="A2" s="2" t="inlineStr">
        <is>
          <t>Why each topic is hot right now, and where it is used in the plan. Recheck Google Trends before each week.</t>
        </is>
      </c>
    </row>
    <row r="4">
      <c r="A4" s="36" t="inlineStr">
        <is>
          <t>Keyword / topic</t>
        </is>
      </c>
      <c r="B4" s="36" t="inlineStr">
        <is>
          <t>Category</t>
        </is>
      </c>
      <c r="C4" s="36" t="inlineStr">
        <is>
          <t>Why it is trending now</t>
        </is>
      </c>
      <c r="D4" s="36" t="inlineStr">
        <is>
          <t>Used on days</t>
        </is>
      </c>
      <c r="E4" s="36" t="inlineStr">
        <is>
          <t>Source</t>
        </is>
      </c>
    </row>
    <row r="5">
      <c r="A5" s="26" t="inlineStr">
        <is>
          <t>WordPress 7.1.3 security update</t>
        </is>
      </c>
      <c r="B5" s="23" t="inlineStr">
        <is>
          <t>WordPress</t>
        </is>
      </c>
      <c r="C5" s="23" t="inlineStr">
        <is>
          <t>Released 6 October 2026 with 7 security fixes and 4 bug fixes. Site owners are searching how to update safely.</t>
        </is>
      </c>
      <c r="D5" s="23" t="inlineStr">
        <is>
          <t>2</t>
        </is>
      </c>
      <c r="E5" s="37" t="inlineStr">
        <is>
          <t>https://wordpress.org/news/2026/10/wordpress-7-1-3-maintenance-and-security-release/</t>
        </is>
      </c>
    </row>
    <row r="6">
      <c r="A6" s="26" t="inlineStr">
        <is>
          <t>WordPress MCP / AI agents WordPress</t>
        </is>
      </c>
      <c r="B6" s="23" t="inlineStr">
        <is>
          <t>WordPress, AI</t>
        </is>
      </c>
      <c r="C6" s="23" t="inlineStr">
        <is>
          <t>WordPress released a canonical MCP Adapter that connects AI tools to sites. New and widely covered.</t>
        </is>
      </c>
      <c r="D6" s="23" t="inlineStr">
        <is>
          <t>12</t>
        </is>
      </c>
      <c r="E6" s="37" t="inlineStr">
        <is>
          <t>https://www.searchenginejournal.com/category/cms/wp/</t>
        </is>
      </c>
    </row>
    <row r="7">
      <c r="A7" s="26" t="inlineStr">
        <is>
          <t>Core Web Vitals, LCP, PageSpeed Insights</t>
        </is>
      </c>
      <c r="B7" s="23" t="inlineStr">
        <is>
          <t>Speed</t>
        </is>
      </c>
      <c r="C7" s="23" t="inlineStr">
        <is>
          <t>Evergreen with steady demand. Ties directly to the free Speed Optimizer plugin.</t>
        </is>
      </c>
      <c r="D7" s="23" t="inlineStr">
        <is>
          <t>1, 3, 4, 5</t>
        </is>
      </c>
      <c r="E7" s="37" t="inlineStr">
        <is>
          <t>https://www.wordstream.com/blog/2026-seo-trends</t>
        </is>
      </c>
    </row>
    <row r="8">
      <c r="A8" s="26" t="inlineStr">
        <is>
          <t>AI Overviews / AI Mode</t>
        </is>
      </c>
      <c r="B8" s="23" t="inlineStr">
        <is>
          <t>SEO</t>
        </is>
      </c>
      <c r="C8" s="23" t="inlineStr">
        <is>
          <t>AI Mode prompt box now appears inside some AI Overviews. Click loss is the top SEO worry (Ahrefs: position 1 CTR about 34.5% lower with an AI Overview).</t>
        </is>
      </c>
      <c r="D8" s="23" t="inlineStr">
        <is>
          <t>8, 9</t>
        </is>
      </c>
      <c r="E8" s="37" t="inlineStr">
        <is>
          <t>https://www.seroundtable.com/october-2026-google-webmaster-report-42185.html</t>
        </is>
      </c>
    </row>
    <row r="9">
      <c r="A9" s="26" t="inlineStr">
        <is>
          <t>Search Console generative AI report</t>
        </is>
      </c>
      <c r="B9" s="23" t="inlineStr">
        <is>
          <t>SEO</t>
        </is>
      </c>
      <c r="C9" s="23" t="inlineStr">
        <is>
          <t>Generative AI performance reports have rolled out to all sites worldwide. Owners want to know how to read them.</t>
        </is>
      </c>
      <c r="D9" s="23" t="inlineStr">
        <is>
          <t>9</t>
        </is>
      </c>
      <c r="E9" s="37" t="inlineStr">
        <is>
          <t>https://www.seroundtable.com/october-2026-google-webmaster-report-42185.html</t>
        </is>
      </c>
    </row>
    <row r="10">
      <c r="A10" s="26" t="inlineStr">
        <is>
          <t>Zero click search</t>
        </is>
      </c>
      <c r="B10" s="23" t="inlineStr">
        <is>
          <t>SEO</t>
        </is>
      </c>
      <c r="C10" s="23" t="inlineStr">
        <is>
          <t>Grows with AI answers. Useful framing for why websites need answer-first content.</t>
        </is>
      </c>
      <c r="D10" s="23" t="inlineStr">
        <is>
          <t>8</t>
        </is>
      </c>
      <c r="E10" s="37" t="inlineStr">
        <is>
          <t>https://www.evergreen.media/en/guide/seo-this-year/</t>
        </is>
      </c>
    </row>
    <row r="11">
      <c r="A11" s="26" t="inlineStr">
        <is>
          <t>GEO / AEO (generative and answer engine optimization)</t>
        </is>
      </c>
      <c r="B11" s="23" t="inlineStr">
        <is>
          <t>SEO</t>
        </is>
      </c>
      <c r="C11" s="23" t="inlineStr">
        <is>
          <t>Named as a key 2026 trend next to traditional SEO, which still brings high intent traffic.</t>
        </is>
      </c>
      <c r="D11" s="23" t="inlineStr">
        <is>
          <t>10, 11</t>
        </is>
      </c>
      <c r="E11" s="37" t="inlineStr">
        <is>
          <t>https://www.wordstream.com/blog/2026-seo-trends</t>
        </is>
      </c>
    </row>
    <row r="12">
      <c r="A12" s="26" t="inlineStr">
        <is>
          <t>Get recommended by ChatGPT / AI search visibility</t>
        </is>
      </c>
      <c r="B12" s="23" t="inlineStr">
        <is>
          <t>SEO</t>
        </is>
      </c>
      <c r="C12" s="23" t="inlineStr">
        <is>
          <t>Local businesses ask how to show up in ChatGPT and Gemini answers. Matches an existing Vyntic blog post.</t>
        </is>
      </c>
      <c r="D12" s="23" t="inlineStr">
        <is>
          <t>10</t>
        </is>
      </c>
      <c r="E12" s="37" t="inlineStr">
        <is>
          <t>https://www.position.digital/blog/ai-seo-news/</t>
        </is>
      </c>
    </row>
    <row r="13">
      <c r="A13" s="26" t="inlineStr">
        <is>
          <t>Google spam update</t>
        </is>
      </c>
      <c r="B13" s="23" t="inlineStr">
        <is>
          <t>SEO</t>
        </is>
      </c>
      <c r="C13" s="23" t="inlineStr">
        <is>
          <t>September 2026 spam update finished rolling out on 8 October. Sites that dropped are searching for answers.</t>
        </is>
      </c>
      <c r="D13" s="23" t="inlineStr">
        <is>
          <t>15</t>
        </is>
      </c>
      <c r="E13" s="37" t="inlineStr">
        <is>
          <t>https://seroundtable.com/google-september-2026-spam-update-done-42235.html</t>
        </is>
      </c>
    </row>
    <row r="14">
      <c r="A14" s="26" t="inlineStr">
        <is>
          <t>Google core update</t>
        </is>
      </c>
      <c r="B14" s="23" t="inlineStr">
        <is>
          <t>SEO</t>
        </is>
      </c>
      <c r="C14" s="23" t="inlineStr">
        <is>
          <t>Two core updates so far in 2026 (March, May). Always high interest; post fast if a new one starts.</t>
        </is>
      </c>
      <c r="D14" s="23" t="inlineStr">
        <is>
          <t>Watch</t>
        </is>
      </c>
      <c r="E14" s="37" t="inlineStr">
        <is>
          <t>https://searchengineland.com/google-may-2026-core-update-rolling-out-now-478430</t>
        </is>
      </c>
    </row>
    <row r="15">
      <c r="A15" s="26" t="inlineStr">
        <is>
          <t>Google Business Profile optimization / holiday hours</t>
        </is>
      </c>
      <c r="B15" s="23" t="inlineStr">
        <is>
          <t>Local SEO</t>
        </is>
      </c>
      <c r="C15" s="23" t="inlineStr">
        <is>
          <t>Peak season for local search; holiday hours and the clock change on 1 November.</t>
        </is>
      </c>
      <c r="D15" s="23" t="inlineStr">
        <is>
          <t>16, 19, 27</t>
        </is>
      </c>
      <c r="E15" s="37" t="inlineStr">
        <is>
          <t>https://www.klaviyo.com/uk/bfcm/calendar</t>
        </is>
      </c>
    </row>
    <row r="16">
      <c r="A16" s="26" t="inlineStr">
        <is>
          <t>Halloween website horror stories</t>
        </is>
      </c>
      <c r="B16" s="23" t="inlineStr">
        <is>
          <t>Seasonal</t>
        </is>
      </c>
      <c r="C16" s="23" t="inlineStr">
        <is>
          <t>Halloween 31 October. Light, shareable content that still teaches.</t>
        </is>
      </c>
      <c r="D16" s="23" t="inlineStr">
        <is>
          <t>17, 18, 20</t>
        </is>
      </c>
      <c r="E16" s="23" t="inlineStr"/>
    </row>
    <row r="17">
      <c r="A17" s="26" t="inlineStr">
        <is>
          <t>Black Friday 2026 / BFCM</t>
        </is>
      </c>
      <c r="B17" s="23" t="inlineStr">
        <is>
          <t>Seasonal</t>
        </is>
      </c>
      <c r="C17" s="23" t="inlineStr">
        <is>
          <t>Black Friday is 27 November, Cyber Monday 30 November. Many shoppers research deals before mid November, so prep content in early November.</t>
        </is>
      </c>
      <c r="D17" s="23" t="inlineStr">
        <is>
          <t>22 to 30</t>
        </is>
      </c>
      <c r="E17" s="37" t="inlineStr">
        <is>
          <t>https://www.klaviyo.com/uk/bfcm/calendar</t>
        </is>
      </c>
    </row>
    <row r="18">
      <c r="A18" s="26" t="inlineStr">
        <is>
          <t>AI shopping / product schema</t>
        </is>
      </c>
      <c r="B18" s="23" t="inlineStr">
        <is>
          <t>Ecommerce</t>
        </is>
      </c>
      <c r="C18" s="23" t="inlineStr">
        <is>
          <t>More buyers ask ChatGPT, Gemini or AI Mode what to buy (vendor reported, treat numbers with care).</t>
        </is>
      </c>
      <c r="D18" s="23" t="inlineStr">
        <is>
          <t>24</t>
        </is>
      </c>
      <c r="E18" s="37" t="inlineStr">
        <is>
          <t>https://www.yotpo.com/blog/black-friday-marketing-strategy.md</t>
        </is>
      </c>
    </row>
    <row r="19">
      <c r="A19" s="26" t="inlineStr">
        <is>
          <t>Small Business Saturday 2026</t>
        </is>
      </c>
      <c r="B19" s="23" t="inlineStr">
        <is>
          <t>Seasonal, local</t>
        </is>
      </c>
      <c r="C19" s="23" t="inlineStr">
        <is>
          <t>28 November 2026. Good for local business audiences.</t>
        </is>
      </c>
      <c r="D19" s="23" t="inlineStr">
        <is>
          <t>27</t>
        </is>
      </c>
      <c r="E19" s="37" t="inlineStr">
        <is>
          <t>https://www.klaviyo.com/uk/bfcm/calendar</t>
        </is>
      </c>
    </row>
    <row r="20">
      <c r="A20" s="26" t="inlineStr">
        <is>
          <t>Website cost 2026</t>
        </is>
      </c>
      <c r="B20" s="23" t="inlineStr">
        <is>
          <t>Sales</t>
        </is>
      </c>
      <c r="C20" s="23" t="inlineStr">
        <is>
          <t>Evergreen high intent query, peaks before budgets are set for the new year. Matches the Vyntic cost calculator.</t>
        </is>
      </c>
      <c r="D20" s="23" t="inlineStr">
        <is>
          <t>29</t>
        </is>
      </c>
      <c r="E20" s="37" t="inlineStr">
        <is>
          <t>https://vyntic.studio/website-cost/</t>
        </is>
      </c>
    </row>
    <row r="21">
      <c r="A21" s="26" t="inlineStr">
        <is>
          <t>WordPress accessibility</t>
        </is>
      </c>
      <c r="B21" s="23" t="inlineStr">
        <is>
          <t>WordPress</t>
        </is>
      </c>
      <c r="C21" s="23" t="inlineStr">
        <is>
          <t>WordPress Accessibility Day ran 7 to 8 October 2026. Good topic for a later post.</t>
        </is>
      </c>
      <c r="D21" s="23" t="inlineStr">
        <is>
          <t>Spare</t>
        </is>
      </c>
      <c r="E21" s="37" t="inlineStr">
        <is>
          <t>https://wpaccessibility.day/2026/</t>
        </is>
      </c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38" t="inlineStr">
        <is>
          <t>How to use this plan</t>
        </is>
      </c>
    </row>
    <row r="2">
      <c r="A2" s="39" t="inlineStr">
        <is>
          <t>1</t>
        </is>
      </c>
      <c r="B2" s="40" t="inlineStr">
        <is>
          <t>Each day has one main post. Make it once, then adapt it for every platform listed (crop, change the first line, adjust hashtags).</t>
        </is>
      </c>
    </row>
    <row r="3">
      <c r="A3" s="39" t="inlineStr">
        <is>
          <t>2</t>
        </is>
      </c>
      <c r="B3" s="40" t="inlineStr">
        <is>
          <t>Change Status as you go. The counters on the Daily Plan and the Calendar update by themselves.</t>
        </is>
      </c>
    </row>
    <row r="4">
      <c r="A4" s="39" t="inlineStr">
        <is>
          <t>3</t>
        </is>
      </c>
      <c r="B4" s="40" t="inlineStr">
        <is>
          <t>Days marked 'real client' need your own numbers or reviews. Never post made-up results.</t>
        </is>
      </c>
    </row>
    <row r="5">
      <c r="A5" s="39" t="inlineStr">
        <is>
          <t>4</t>
        </is>
      </c>
      <c r="B5" s="40" t="inlineStr">
        <is>
          <t>If big news breaks (a Google core update, a WordPress release), swap it into the next free day. Speed matters more than polish.</t>
        </is>
      </c>
    </row>
    <row r="6">
      <c r="A6" s="39" t="inlineStr"/>
      <c r="B6" s="40" t="inlineStr"/>
    </row>
    <row r="7">
      <c r="A7" s="38" t="inlineStr">
        <is>
          <t>Weekly routine (about 5 hours)</t>
        </is>
      </c>
    </row>
    <row r="8">
      <c r="A8" s="39" t="inlineStr">
        <is>
          <t>Monday</t>
        </is>
      </c>
      <c r="B8" s="40" t="inlineStr">
        <is>
          <t>Plan and batch: write captions for the week, design carousels and images (2 hours).</t>
        </is>
      </c>
    </row>
    <row r="9">
      <c r="A9" s="39" t="inlineStr">
        <is>
          <t>Tuesday</t>
        </is>
      </c>
      <c r="B9" s="40" t="inlineStr">
        <is>
          <t>Record short videos for the week in one go (1 hour).</t>
        </is>
      </c>
    </row>
    <row r="10">
      <c r="A10" s="39" t="inlineStr">
        <is>
          <t>Wednesday</t>
        </is>
      </c>
      <c r="B10" s="40" t="inlineStr">
        <is>
          <t>Schedule everything in Meta Business Suite (Instagram, Facebook) and LinkedIn (30 minutes).</t>
        </is>
      </c>
    </row>
    <row r="11">
      <c r="A11" s="39" t="inlineStr">
        <is>
          <t>Every day</t>
        </is>
      </c>
      <c r="B11" s="40" t="inlineStr">
        <is>
          <t>15 minutes replying to comments and DMs, 10 minutes commenting on 5 posts in your niche.</t>
        </is>
      </c>
    </row>
    <row r="12">
      <c r="A12" s="39" t="inlineStr">
        <is>
          <t>Friday</t>
        </is>
      </c>
      <c r="B12" s="40" t="inlineStr">
        <is>
          <t>Check what worked: saves, shares, comments, link clicks. Note the winners (30 minutes).</t>
        </is>
      </c>
    </row>
    <row r="13">
      <c r="A13" s="39" t="inlineStr">
        <is>
          <t>Sunday</t>
        </is>
      </c>
      <c r="B13" s="40" t="inlineStr">
        <is>
          <t>Two Google Business Profile posts for the week, ask for 2 reviews.</t>
        </is>
      </c>
    </row>
    <row r="14">
      <c r="A14" s="39" t="inlineStr"/>
      <c r="B14" s="40" t="inlineStr"/>
    </row>
    <row r="15">
      <c r="A15" s="38" t="inlineStr">
        <is>
          <t>Posting times to test</t>
        </is>
      </c>
    </row>
    <row r="16">
      <c r="A16" s="39" t="inlineStr">
        <is>
          <t>Instagram and Facebook</t>
        </is>
      </c>
      <c r="B16" s="40" t="inlineStr">
        <is>
          <t>7 to 9 pm local time on weekdays, late morning on weekends.</t>
        </is>
      </c>
    </row>
    <row r="17">
      <c r="A17" s="39" t="inlineStr">
        <is>
          <t>LinkedIn</t>
        </is>
      </c>
      <c r="B17" s="40" t="inlineStr">
        <is>
          <t>Tuesday to Thursday, 8 to 10 am.</t>
        </is>
      </c>
    </row>
    <row r="18">
      <c r="A18" s="39" t="inlineStr">
        <is>
          <t>TikTok and Shorts</t>
        </is>
      </c>
      <c r="B18" s="40" t="inlineStr">
        <is>
          <t>6 to 10 pm.</t>
        </is>
      </c>
    </row>
    <row r="19">
      <c r="A19" s="39" t="inlineStr">
        <is>
          <t>Google Business Profile</t>
        </is>
      </c>
      <c r="B19" s="40" t="inlineStr">
        <is>
          <t>Any time, twice a week.</t>
        </is>
      </c>
    </row>
    <row r="20">
      <c r="A20" s="39" t="inlineStr"/>
      <c r="B20" s="40" t="inlineStr"/>
    </row>
    <row r="21">
      <c r="A21" s="38" t="inlineStr">
        <is>
          <t>Content mix for the month</t>
        </is>
      </c>
    </row>
    <row r="22">
      <c r="A22" s="39" t="inlineStr">
        <is>
          <t>Educate</t>
        </is>
      </c>
      <c r="B22" s="40" t="inlineStr">
        <is>
          <t>About 40%. Tips, how to, explainers.</t>
        </is>
      </c>
    </row>
    <row r="23">
      <c r="A23" s="39" t="inlineStr">
        <is>
          <t>News</t>
        </is>
      </c>
      <c r="B23" s="40" t="inlineStr">
        <is>
          <t>About 15%. WordPress and Google updates, posted fast.</t>
        </is>
      </c>
    </row>
    <row r="24">
      <c r="A24" s="39" t="inlineStr">
        <is>
          <t>Proof</t>
        </is>
      </c>
      <c r="B24" s="40" t="inlineStr">
        <is>
          <t>About 15%. Case studies, reviews, before and after.</t>
        </is>
      </c>
    </row>
    <row r="25">
      <c r="A25" s="39" t="inlineStr">
        <is>
          <t>Product and Offer</t>
        </is>
      </c>
      <c r="B25" s="40" t="inlineStr">
        <is>
          <t>About 15%. Free plugins, services, Black Friday offer.</t>
        </is>
      </c>
    </row>
    <row r="26">
      <c r="A26" s="39" t="inlineStr">
        <is>
          <t>Engage and Behind the scenes</t>
        </is>
      </c>
      <c r="B26" s="40" t="inlineStr">
        <is>
          <t>About 15%. Polls, Q and A, process,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2026-10-10T11:32:10Z</dcterms:created>
  <dcterms:modified xmlns:dcterms="http://purl.org/dc/terms/" xmlns:xsi="http://www.w3.org/2001/XMLSchema-instance" xsi:type="dcterms:W3CDTF">2026-10-10T11:32:10Z</dcterms:modified>
</cp:coreProperties>
</file>